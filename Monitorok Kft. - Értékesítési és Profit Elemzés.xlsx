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Intel\OneDrive\Asztali gép\"/>
    </mc:Choice>
  </mc:AlternateContent>
  <xr:revisionPtr revIDLastSave="0" documentId="13_ncr:1_{F2E5DC5F-B651-4C85-ADE7-BC191B0027E5}" xr6:coauthVersionLast="47" xr6:coauthVersionMax="47" xr10:uidLastSave="{00000000-0000-0000-0000-000000000000}"/>
  <bookViews>
    <workbookView xWindow="-108" yWindow="-108" windowWidth="30936" windowHeight="16776" firstSheet="1" activeTab="2" xr2:uid="{00000000-000D-0000-FFFF-FFFF00000000}"/>
  </bookViews>
  <sheets>
    <sheet name="Dashboard Forrás" sheetId="12" state="hidden" r:id="rId1"/>
    <sheet name="Rendelések" sheetId="1" r:id="rId2"/>
    <sheet name="Rendelések Pivot" sheetId="10" r:id="rId3"/>
    <sheet name="Rendelések Dashboard" sheetId="16" r:id="rId4"/>
    <sheet name="Ügyfelek" sheetId="3" r:id="rId5"/>
    <sheet name="Ügyfelek Pivot" sheetId="14" r:id="rId6"/>
    <sheet name="Ügyfelek Dashboard" sheetId="13" r:id="rId7"/>
  </sheets>
  <definedNames>
    <definedName name="NativeTimeline_Rendelés_Dátuma">#N/A</definedName>
    <definedName name="NativeTimeline_Rendelés_Dátuma1">#N/A</definedName>
    <definedName name="Slicer_Állapot">#N/A</definedName>
    <definedName name="Slicer_Állapot1">#N/A</definedName>
    <definedName name="Slicer_Márka">#N/A</definedName>
    <definedName name="Slicer_Márka1">#N/A</definedName>
    <definedName name="Slicer_Méret">#N/A</definedName>
    <definedName name="Slicer_Méret1">#N/A</definedName>
    <definedName name="Slicer_Ország">#N/A</definedName>
    <definedName name="Slicer_Ország1">#N/A</definedName>
    <definedName name="Slicer_Termék">#N/A</definedName>
    <definedName name="Slicer_Termék1">#N/A</definedName>
    <definedName name="Slicer_Ügyfél_típusa">#N/A</definedName>
    <definedName name="Slicer_Ügyfél_típusa1">#N/A</definedName>
    <definedName name="Slicer_Város">#N/A</definedName>
  </definedNames>
  <calcPr calcId="191028"/>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8" i="1" l="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2" i="1"/>
  <c r="M13" i="1"/>
  <c r="M10" i="1"/>
  <c r="M11" i="1"/>
  <c r="M9" i="1"/>
  <c r="M8" i="1"/>
  <c r="M7" i="1"/>
  <c r="M6" i="1"/>
  <c r="M5" i="1"/>
  <c r="M4" i="1"/>
  <c r="M3"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2" i="1"/>
  <c r="I143" i="3"/>
  <c r="H143" i="3"/>
  <c r="J143" i="3" s="1"/>
  <c r="I142" i="3"/>
  <c r="H142" i="3"/>
  <c r="J142" i="3" s="1"/>
  <c r="I141" i="3"/>
  <c r="H141" i="3"/>
  <c r="J141" i="3" s="1"/>
  <c r="I140" i="3"/>
  <c r="H140" i="3"/>
  <c r="J140" i="3" s="1"/>
  <c r="I139" i="3"/>
  <c r="H139" i="3"/>
  <c r="J139" i="3" s="1"/>
  <c r="I138" i="3"/>
  <c r="H138" i="3"/>
  <c r="J138" i="3" s="1"/>
  <c r="I137" i="3"/>
  <c r="H137" i="3"/>
  <c r="J137" i="3" s="1"/>
  <c r="I136" i="3"/>
  <c r="H136" i="3"/>
  <c r="J136" i="3" s="1"/>
  <c r="I135" i="3"/>
  <c r="H135" i="3"/>
  <c r="J135" i="3" s="1"/>
  <c r="I134" i="3"/>
  <c r="H134" i="3"/>
  <c r="J134" i="3" s="1"/>
  <c r="I133" i="3"/>
  <c r="H133" i="3"/>
  <c r="J133" i="3" s="1"/>
  <c r="I132" i="3"/>
  <c r="H132" i="3"/>
  <c r="J132" i="3" s="1"/>
  <c r="I131" i="3"/>
  <c r="H131" i="3"/>
  <c r="J131" i="3" s="1"/>
  <c r="I130" i="3"/>
  <c r="H130" i="3"/>
  <c r="J130" i="3" s="1"/>
  <c r="I129" i="3"/>
  <c r="H129" i="3"/>
  <c r="J129" i="3" s="1"/>
  <c r="I128" i="3"/>
  <c r="H128" i="3"/>
  <c r="J128" i="3" s="1"/>
  <c r="I127" i="3"/>
  <c r="H127" i="3"/>
  <c r="J127" i="3" s="1"/>
  <c r="I126" i="3"/>
  <c r="H126" i="3"/>
  <c r="J126" i="3" s="1"/>
  <c r="I125" i="3"/>
  <c r="H125" i="3"/>
  <c r="J125" i="3" s="1"/>
  <c r="I124" i="3"/>
  <c r="H124" i="3"/>
  <c r="J124" i="3" s="1"/>
  <c r="I123" i="3"/>
  <c r="H123" i="3"/>
  <c r="J123" i="3" s="1"/>
  <c r="I122" i="3"/>
  <c r="H122" i="3"/>
  <c r="J122" i="3" s="1"/>
  <c r="I121" i="3"/>
  <c r="H121" i="3"/>
  <c r="J121" i="3" s="1"/>
  <c r="I120" i="3"/>
  <c r="H120" i="3"/>
  <c r="J120" i="3" s="1"/>
  <c r="I119" i="3"/>
  <c r="H119" i="3"/>
  <c r="J119" i="3" s="1"/>
  <c r="I118" i="3"/>
  <c r="H118" i="3"/>
  <c r="J118" i="3" s="1"/>
  <c r="I117" i="3"/>
  <c r="H117" i="3"/>
  <c r="J117" i="3" s="1"/>
  <c r="I116" i="3"/>
  <c r="H116" i="3"/>
  <c r="J116" i="3" s="1"/>
  <c r="I115" i="3"/>
  <c r="H115" i="3"/>
  <c r="J115" i="3" s="1"/>
  <c r="I114" i="3"/>
  <c r="H114" i="3"/>
  <c r="J114" i="3" s="1"/>
  <c r="I113" i="3"/>
  <c r="H113" i="3"/>
  <c r="J113" i="3" s="1"/>
  <c r="I112" i="3"/>
  <c r="H112" i="3"/>
  <c r="J112" i="3" s="1"/>
  <c r="I111" i="3"/>
  <c r="H111" i="3"/>
  <c r="J111" i="3" s="1"/>
  <c r="I110" i="3"/>
  <c r="H110" i="3"/>
  <c r="J110" i="3" s="1"/>
  <c r="I109" i="3"/>
  <c r="H109" i="3"/>
  <c r="J109" i="3" s="1"/>
  <c r="I108" i="3"/>
  <c r="H108" i="3"/>
  <c r="J108" i="3" s="1"/>
  <c r="I107" i="3"/>
  <c r="H107" i="3"/>
  <c r="J107" i="3" s="1"/>
  <c r="I106" i="3"/>
  <c r="H106" i="3"/>
  <c r="J106" i="3" s="1"/>
  <c r="I105" i="3"/>
  <c r="H105" i="3"/>
  <c r="J105" i="3" s="1"/>
  <c r="I104" i="3"/>
  <c r="H104" i="3"/>
  <c r="J104" i="3" s="1"/>
  <c r="I103" i="3"/>
  <c r="H103" i="3"/>
  <c r="J103" i="3" s="1"/>
  <c r="I102" i="3"/>
  <c r="H102" i="3"/>
  <c r="J102" i="3" s="1"/>
  <c r="I101" i="3"/>
  <c r="H101" i="3"/>
  <c r="J101" i="3" s="1"/>
  <c r="I100" i="3"/>
  <c r="H100" i="3"/>
  <c r="J100" i="3" s="1"/>
  <c r="I99" i="3"/>
  <c r="H99" i="3"/>
  <c r="J99" i="3" s="1"/>
  <c r="I98" i="3"/>
  <c r="H98" i="3"/>
  <c r="J98" i="3" s="1"/>
  <c r="I97" i="3"/>
  <c r="H97" i="3"/>
  <c r="J97" i="3" s="1"/>
  <c r="I96" i="3"/>
  <c r="H96" i="3"/>
  <c r="J96" i="3" s="1"/>
  <c r="I95" i="3"/>
  <c r="H95" i="3"/>
  <c r="J95" i="3" s="1"/>
  <c r="I94" i="3"/>
  <c r="H94" i="3"/>
  <c r="J94" i="3" s="1"/>
  <c r="I93" i="3"/>
  <c r="H93" i="3"/>
  <c r="J93" i="3" s="1"/>
  <c r="I92" i="3"/>
  <c r="H92" i="3"/>
  <c r="J92" i="3" s="1"/>
  <c r="I91" i="3"/>
  <c r="H91" i="3"/>
  <c r="J91" i="3" s="1"/>
  <c r="I90" i="3"/>
  <c r="H90" i="3"/>
  <c r="J90" i="3" s="1"/>
  <c r="I89" i="3"/>
  <c r="H89" i="3"/>
  <c r="J89" i="3" s="1"/>
  <c r="I88" i="3"/>
  <c r="H88" i="3"/>
  <c r="J88" i="3" s="1"/>
  <c r="I87" i="3"/>
  <c r="H87" i="3"/>
  <c r="J87" i="3" s="1"/>
  <c r="I86" i="3"/>
  <c r="H86" i="3"/>
  <c r="J86" i="3" s="1"/>
  <c r="I85" i="3"/>
  <c r="H85" i="3"/>
  <c r="J85" i="3" s="1"/>
  <c r="I84" i="3"/>
  <c r="H84" i="3"/>
  <c r="J84" i="3" s="1"/>
  <c r="I83" i="3"/>
  <c r="H83" i="3"/>
  <c r="J83" i="3" s="1"/>
  <c r="I82" i="3"/>
  <c r="H82" i="3"/>
  <c r="J82" i="3" s="1"/>
  <c r="I81" i="3"/>
  <c r="H81" i="3"/>
  <c r="J81" i="3" s="1"/>
  <c r="I80" i="3"/>
  <c r="H80" i="3"/>
  <c r="J80" i="3" s="1"/>
  <c r="I79" i="3"/>
  <c r="H79" i="3"/>
  <c r="J79" i="3" s="1"/>
  <c r="I78" i="3"/>
  <c r="H78" i="3"/>
  <c r="J78" i="3" s="1"/>
  <c r="I77" i="3"/>
  <c r="H77" i="3"/>
  <c r="J77" i="3" s="1"/>
  <c r="I76" i="3"/>
  <c r="H76" i="3"/>
  <c r="J76" i="3" s="1"/>
  <c r="I75" i="3"/>
  <c r="H75" i="3"/>
  <c r="J75" i="3" s="1"/>
  <c r="I74" i="3"/>
  <c r="H74" i="3"/>
  <c r="J74" i="3" s="1"/>
  <c r="I73" i="3"/>
  <c r="H73" i="3"/>
  <c r="J73" i="3" s="1"/>
  <c r="I72" i="3"/>
  <c r="H72" i="3"/>
  <c r="J72" i="3" s="1"/>
  <c r="I71" i="3"/>
  <c r="H71" i="3"/>
  <c r="J71" i="3" s="1"/>
  <c r="I70" i="3"/>
  <c r="H70" i="3"/>
  <c r="J70" i="3" s="1"/>
  <c r="I69" i="3"/>
  <c r="H69" i="3"/>
  <c r="J69" i="3" s="1"/>
  <c r="I68" i="3"/>
  <c r="H68" i="3"/>
  <c r="J68" i="3" s="1"/>
  <c r="I67" i="3"/>
  <c r="H67" i="3"/>
  <c r="J67" i="3" s="1"/>
  <c r="I66" i="3"/>
  <c r="H66" i="3"/>
  <c r="J66" i="3" s="1"/>
  <c r="I65" i="3"/>
  <c r="H65" i="3"/>
  <c r="J65" i="3" s="1"/>
  <c r="I64" i="3"/>
  <c r="H64" i="3"/>
  <c r="J64" i="3" s="1"/>
  <c r="I63" i="3"/>
  <c r="H63" i="3"/>
  <c r="J63" i="3" s="1"/>
  <c r="I62" i="3"/>
  <c r="H62" i="3"/>
  <c r="J62" i="3" s="1"/>
  <c r="I61" i="3"/>
  <c r="H61" i="3"/>
  <c r="J61" i="3" s="1"/>
  <c r="I60" i="3"/>
  <c r="H60" i="3"/>
  <c r="J60" i="3" s="1"/>
  <c r="I59" i="3"/>
  <c r="H59" i="3"/>
  <c r="J59" i="3" s="1"/>
  <c r="I58" i="3"/>
  <c r="H58" i="3"/>
  <c r="J58" i="3" s="1"/>
  <c r="I57" i="3"/>
  <c r="H57" i="3"/>
  <c r="J57" i="3" s="1"/>
  <c r="I56" i="3"/>
  <c r="H56" i="3"/>
  <c r="J56" i="3" s="1"/>
  <c r="I55" i="3"/>
  <c r="H55" i="3"/>
  <c r="J55" i="3" s="1"/>
  <c r="I54" i="3"/>
  <c r="H54" i="3"/>
  <c r="J54" i="3" s="1"/>
  <c r="I53" i="3"/>
  <c r="H53" i="3"/>
  <c r="J53" i="3" s="1"/>
  <c r="I52" i="3"/>
  <c r="H52" i="3"/>
  <c r="J52" i="3" s="1"/>
  <c r="I51" i="3"/>
  <c r="H51" i="3"/>
  <c r="J51" i="3" s="1"/>
  <c r="I50" i="3"/>
  <c r="H50" i="3"/>
  <c r="J50" i="3" s="1"/>
  <c r="I49" i="3"/>
  <c r="H49" i="3"/>
  <c r="J49" i="3" s="1"/>
  <c r="I48" i="3"/>
  <c r="H48" i="3"/>
  <c r="J48" i="3" s="1"/>
  <c r="I47" i="3"/>
  <c r="H47" i="3"/>
  <c r="J47" i="3" s="1"/>
  <c r="I46" i="3"/>
  <c r="H46" i="3"/>
  <c r="J46" i="3" s="1"/>
  <c r="I45" i="3"/>
  <c r="H45" i="3"/>
  <c r="J45" i="3" s="1"/>
  <c r="I44" i="3"/>
  <c r="H44" i="3"/>
  <c r="J44" i="3" s="1"/>
  <c r="I43" i="3"/>
  <c r="H43" i="3"/>
  <c r="J43" i="3" s="1"/>
  <c r="I42" i="3"/>
  <c r="H42" i="3"/>
  <c r="J42" i="3" s="1"/>
  <c r="I41" i="3"/>
  <c r="H41" i="3"/>
  <c r="J41" i="3" s="1"/>
  <c r="I40" i="3"/>
  <c r="H40" i="3"/>
  <c r="J40" i="3" s="1"/>
  <c r="I39" i="3"/>
  <c r="H39" i="3"/>
  <c r="J39" i="3" s="1"/>
  <c r="I38" i="3"/>
  <c r="H38" i="3"/>
  <c r="J38" i="3" s="1"/>
  <c r="I37" i="3"/>
  <c r="H37" i="3"/>
  <c r="J37" i="3" s="1"/>
  <c r="I36" i="3"/>
  <c r="H36" i="3"/>
  <c r="J36" i="3" s="1"/>
  <c r="I35" i="3"/>
  <c r="H35" i="3"/>
  <c r="J35" i="3" s="1"/>
  <c r="I34" i="3"/>
  <c r="H34" i="3"/>
  <c r="J34" i="3" s="1"/>
  <c r="I33" i="3"/>
  <c r="H33" i="3"/>
  <c r="J33" i="3" s="1"/>
  <c r="I32" i="3"/>
  <c r="H32" i="3"/>
  <c r="J32" i="3" s="1"/>
  <c r="I31" i="3"/>
  <c r="H31" i="3"/>
  <c r="J31" i="3" s="1"/>
  <c r="I30" i="3"/>
  <c r="H30" i="3"/>
  <c r="J30" i="3" s="1"/>
  <c r="I29" i="3"/>
  <c r="H29" i="3"/>
  <c r="J29" i="3" s="1"/>
  <c r="I28" i="3"/>
  <c r="H28" i="3"/>
  <c r="J28" i="3" s="1"/>
  <c r="I27" i="3"/>
  <c r="H27" i="3"/>
  <c r="J27" i="3" s="1"/>
  <c r="I26" i="3"/>
  <c r="H26" i="3"/>
  <c r="J26" i="3" s="1"/>
  <c r="I25" i="3"/>
  <c r="H25" i="3"/>
  <c r="J25" i="3" s="1"/>
  <c r="I24" i="3"/>
  <c r="H24" i="3"/>
  <c r="J24" i="3" s="1"/>
  <c r="I23" i="3"/>
  <c r="H23" i="3"/>
  <c r="J23" i="3" s="1"/>
  <c r="I22" i="3"/>
  <c r="H22" i="3"/>
  <c r="J22" i="3" s="1"/>
  <c r="I21" i="3"/>
  <c r="H21" i="3"/>
  <c r="J21" i="3" s="1"/>
  <c r="I20" i="3"/>
  <c r="H20" i="3"/>
  <c r="J20" i="3" s="1"/>
  <c r="I19" i="3"/>
  <c r="H19" i="3"/>
  <c r="J19" i="3" s="1"/>
  <c r="I18" i="3"/>
  <c r="H18" i="3"/>
  <c r="J18" i="3" s="1"/>
  <c r="I17" i="3"/>
  <c r="H17" i="3"/>
  <c r="J17" i="3" s="1"/>
  <c r="I16" i="3"/>
  <c r="H16" i="3"/>
  <c r="J16" i="3" s="1"/>
  <c r="I15" i="3"/>
  <c r="H15" i="3"/>
  <c r="J15" i="3" s="1"/>
  <c r="I14" i="3"/>
  <c r="H14" i="3"/>
  <c r="J14" i="3" s="1"/>
  <c r="I13" i="3"/>
  <c r="H13" i="3"/>
  <c r="J13" i="3" s="1"/>
  <c r="I12" i="3"/>
  <c r="H12" i="3"/>
  <c r="J12" i="3" s="1"/>
  <c r="I11" i="3"/>
  <c r="H11" i="3"/>
  <c r="J11" i="3" s="1"/>
  <c r="I10" i="3"/>
  <c r="H10" i="3"/>
  <c r="J10" i="3" s="1"/>
  <c r="I9" i="3"/>
  <c r="H9" i="3"/>
  <c r="J9" i="3" s="1"/>
  <c r="I8" i="3"/>
  <c r="H8" i="3"/>
  <c r="J8" i="3" s="1"/>
  <c r="I7" i="3"/>
  <c r="H7" i="3"/>
  <c r="J7" i="3" s="1"/>
  <c r="I6" i="3"/>
  <c r="H6" i="3"/>
  <c r="J6" i="3" s="1"/>
  <c r="I5" i="3"/>
  <c r="H5" i="3"/>
  <c r="J5" i="3" s="1"/>
  <c r="I4" i="3"/>
  <c r="H4" i="3"/>
  <c r="J4" i="3" s="1"/>
  <c r="I3" i="3"/>
  <c r="H3" i="3"/>
  <c r="J3" i="3" s="1"/>
  <c r="I2" i="3"/>
  <c r="H2" i="3"/>
  <c r="D188" i="1"/>
  <c r="E188" i="1" s="1"/>
  <c r="F188" i="1" s="1"/>
  <c r="D187" i="1"/>
  <c r="D186" i="1"/>
  <c r="K142" i="3" s="1"/>
  <c r="D185" i="1"/>
  <c r="E185" i="1" s="1"/>
  <c r="D184" i="1"/>
  <c r="K140" i="3" s="1"/>
  <c r="D183" i="1"/>
  <c r="I183" i="1" s="1"/>
  <c r="J183" i="1" s="1"/>
  <c r="D182" i="1"/>
  <c r="I182" i="1" s="1"/>
  <c r="D181" i="1"/>
  <c r="D180" i="1"/>
  <c r="D179" i="1"/>
  <c r="E179" i="1" s="1"/>
  <c r="F179" i="1" s="1"/>
  <c r="D178" i="1"/>
  <c r="D177" i="1"/>
  <c r="E177" i="1" s="1"/>
  <c r="D176" i="1"/>
  <c r="I176" i="1" s="1"/>
  <c r="K176" i="1" s="1"/>
  <c r="D175" i="1"/>
  <c r="D174" i="1"/>
  <c r="I174" i="1" s="1"/>
  <c r="K174" i="1" s="1"/>
  <c r="D173" i="1"/>
  <c r="E173" i="1" s="1"/>
  <c r="D172" i="1"/>
  <c r="D171" i="1"/>
  <c r="I171" i="1" s="1"/>
  <c r="J171" i="1" s="1"/>
  <c r="D170" i="1"/>
  <c r="I170" i="1" s="1"/>
  <c r="D169" i="1"/>
  <c r="E169" i="1" s="1"/>
  <c r="F169" i="1" s="1"/>
  <c r="D168" i="1"/>
  <c r="I168" i="1" s="1"/>
  <c r="D167" i="1"/>
  <c r="D166" i="1"/>
  <c r="D165" i="1"/>
  <c r="D164" i="1"/>
  <c r="D163" i="1"/>
  <c r="E163" i="1" s="1"/>
  <c r="D162" i="1"/>
  <c r="E162" i="1" s="1"/>
  <c r="D161" i="1"/>
  <c r="D160" i="1"/>
  <c r="D159" i="1"/>
  <c r="D158" i="1"/>
  <c r="I158" i="1" s="1"/>
  <c r="D157" i="1"/>
  <c r="E157" i="1" s="1"/>
  <c r="D156" i="1"/>
  <c r="D155" i="1"/>
  <c r="D154" i="1"/>
  <c r="D153" i="1"/>
  <c r="E153" i="1" s="1"/>
  <c r="F153" i="1" s="1"/>
  <c r="D152" i="1"/>
  <c r="E152" i="1" s="1"/>
  <c r="D151" i="1"/>
  <c r="D150" i="1"/>
  <c r="D149" i="1"/>
  <c r="D148" i="1"/>
  <c r="D147" i="1"/>
  <c r="E147" i="1" s="1"/>
  <c r="F147" i="1" s="1"/>
  <c r="D146" i="1"/>
  <c r="D145" i="1"/>
  <c r="D144" i="1"/>
  <c r="I144" i="1" s="1"/>
  <c r="K144" i="1" s="1"/>
  <c r="D143" i="1"/>
  <c r="D142" i="1"/>
  <c r="I142" i="1" s="1"/>
  <c r="K142" i="1" s="1"/>
  <c r="D141" i="1"/>
  <c r="E141" i="1" s="1"/>
  <c r="D140" i="1"/>
  <c r="D139" i="1"/>
  <c r="D138" i="1"/>
  <c r="I138" i="1" s="1"/>
  <c r="D137" i="1"/>
  <c r="E137" i="1" s="1"/>
  <c r="F137" i="1" s="1"/>
  <c r="D136" i="1"/>
  <c r="I136" i="1" s="1"/>
  <c r="D135" i="1"/>
  <c r="D134" i="1"/>
  <c r="D133" i="1"/>
  <c r="D132" i="1"/>
  <c r="D131" i="1"/>
  <c r="E131" i="1" s="1"/>
  <c r="D130" i="1"/>
  <c r="I130" i="1" s="1"/>
  <c r="D129" i="1"/>
  <c r="D128" i="1"/>
  <c r="I128" i="1" s="1"/>
  <c r="D127" i="1"/>
  <c r="D126" i="1"/>
  <c r="I126" i="1" s="1"/>
  <c r="D125" i="1"/>
  <c r="E125" i="1" s="1"/>
  <c r="D124" i="1"/>
  <c r="D123" i="1"/>
  <c r="D122" i="1"/>
  <c r="D121" i="1"/>
  <c r="I121" i="1" s="1"/>
  <c r="D120" i="1"/>
  <c r="D119" i="1"/>
  <c r="D118" i="1"/>
  <c r="D117" i="1"/>
  <c r="D116" i="1"/>
  <c r="D115" i="1"/>
  <c r="E115" i="1" s="1"/>
  <c r="F115" i="1" s="1"/>
  <c r="D114" i="1"/>
  <c r="D113" i="1"/>
  <c r="E113" i="1" s="1"/>
  <c r="F113" i="1" s="1"/>
  <c r="D112" i="1"/>
  <c r="I112" i="1" s="1"/>
  <c r="K112" i="1" s="1"/>
  <c r="D111" i="1"/>
  <c r="D110" i="1"/>
  <c r="I110" i="1" s="1"/>
  <c r="K110" i="1" s="1"/>
  <c r="D109" i="1"/>
  <c r="E109" i="1" s="1"/>
  <c r="D108" i="1"/>
  <c r="D107" i="1"/>
  <c r="I107" i="1" s="1"/>
  <c r="J107" i="1" s="1"/>
  <c r="D106" i="1"/>
  <c r="E106" i="1" s="1"/>
  <c r="D105" i="1"/>
  <c r="E105" i="1" s="1"/>
  <c r="F105" i="1" s="1"/>
  <c r="D104" i="1"/>
  <c r="I104" i="1" s="1"/>
  <c r="D103" i="1"/>
  <c r="D102" i="1"/>
  <c r="D101" i="1"/>
  <c r="E101" i="1" s="1"/>
  <c r="F101" i="1" s="1"/>
  <c r="D100" i="1"/>
  <c r="D99" i="1"/>
  <c r="D98" i="1"/>
  <c r="E98" i="1" s="1"/>
  <c r="D97" i="1"/>
  <c r="D96" i="1"/>
  <c r="D95" i="1"/>
  <c r="D94" i="1"/>
  <c r="D93" i="1"/>
  <c r="I93" i="1" s="1"/>
  <c r="K93" i="1" s="1"/>
  <c r="D92" i="1"/>
  <c r="E92" i="1" s="1"/>
  <c r="D91" i="1"/>
  <c r="I91" i="1" s="1"/>
  <c r="K91" i="1" s="1"/>
  <c r="D90" i="1"/>
  <c r="E90" i="1" s="1"/>
  <c r="D89" i="1"/>
  <c r="E89" i="1" s="1"/>
  <c r="D88" i="1"/>
  <c r="D87" i="1"/>
  <c r="D86" i="1"/>
  <c r="D85" i="1"/>
  <c r="D84" i="1"/>
  <c r="D83" i="1"/>
  <c r="I83" i="1" s="1"/>
  <c r="D82" i="1"/>
  <c r="E82" i="1" s="1"/>
  <c r="F82" i="1" s="1"/>
  <c r="D81" i="1"/>
  <c r="E81" i="1" s="1"/>
  <c r="D80" i="1"/>
  <c r="I80" i="1" s="1"/>
  <c r="D79" i="1"/>
  <c r="D78" i="1"/>
  <c r="D77" i="1"/>
  <c r="D76" i="1"/>
  <c r="D75" i="1"/>
  <c r="K70" i="3" s="1"/>
  <c r="D74" i="1"/>
  <c r="K69" i="3" s="1"/>
  <c r="D73" i="1"/>
  <c r="K68" i="3" s="1"/>
  <c r="D72" i="1"/>
  <c r="I72" i="1" s="1"/>
  <c r="D71" i="1"/>
  <c r="I71" i="1" s="1"/>
  <c r="D70" i="1"/>
  <c r="K67" i="3" s="1"/>
  <c r="D69" i="1"/>
  <c r="D68" i="1"/>
  <c r="D67" i="1"/>
  <c r="D66" i="1"/>
  <c r="K63" i="3" s="1"/>
  <c r="D65" i="1"/>
  <c r="I65" i="1" s="1"/>
  <c r="D64" i="1"/>
  <c r="K62" i="3" s="1"/>
  <c r="D63" i="1"/>
  <c r="D62" i="1"/>
  <c r="I62" i="1" s="1"/>
  <c r="J62" i="1" s="1"/>
  <c r="D61" i="1"/>
  <c r="I61" i="1" s="1"/>
  <c r="D60" i="1"/>
  <c r="I60" i="1" s="1"/>
  <c r="J60" i="1" s="1"/>
  <c r="D59" i="1"/>
  <c r="K57" i="3" s="1"/>
  <c r="D58" i="1"/>
  <c r="K56" i="3" s="1"/>
  <c r="D57" i="1"/>
  <c r="K55" i="3" s="1"/>
  <c r="D56" i="1"/>
  <c r="D55" i="1"/>
  <c r="K54" i="3" s="1"/>
  <c r="D54" i="1"/>
  <c r="D53" i="1"/>
  <c r="K52" i="3" s="1"/>
  <c r="D52" i="1"/>
  <c r="D51" i="1"/>
  <c r="K50" i="3" s="1"/>
  <c r="D50" i="1"/>
  <c r="D49" i="1"/>
  <c r="K48" i="3" s="1"/>
  <c r="D48" i="1"/>
  <c r="I48" i="1" s="1"/>
  <c r="D47" i="1"/>
  <c r="K46" i="3" s="1"/>
  <c r="D46" i="1"/>
  <c r="I46" i="1" s="1"/>
  <c r="J46" i="1" s="1"/>
  <c r="D45" i="1"/>
  <c r="D44" i="1"/>
  <c r="K44" i="3" s="1"/>
  <c r="D43" i="1"/>
  <c r="K43" i="3" s="1"/>
  <c r="D42" i="1"/>
  <c r="K42" i="3" s="1"/>
  <c r="D41" i="1"/>
  <c r="K41" i="3" s="1"/>
  <c r="D40" i="1"/>
  <c r="D39" i="1"/>
  <c r="K39" i="3" s="1"/>
  <c r="D38" i="1"/>
  <c r="E38" i="1" s="1"/>
  <c r="F38" i="1" s="1"/>
  <c r="D37" i="1"/>
  <c r="K37" i="3" s="1"/>
  <c r="D36" i="1"/>
  <c r="I36" i="1" s="1"/>
  <c r="J36" i="1" s="1"/>
  <c r="D35" i="1"/>
  <c r="D34" i="1"/>
  <c r="E34" i="1" s="1"/>
  <c r="F34" i="1" s="1"/>
  <c r="D33" i="1"/>
  <c r="D32" i="1"/>
  <c r="K32" i="3" s="1"/>
  <c r="D31" i="1"/>
  <c r="K31" i="3" s="1"/>
  <c r="D30" i="1"/>
  <c r="D29" i="1"/>
  <c r="I29" i="1" s="1"/>
  <c r="D28" i="1"/>
  <c r="K28" i="3" s="1"/>
  <c r="D27" i="1"/>
  <c r="I27" i="1" s="1"/>
  <c r="D26" i="1"/>
  <c r="D25" i="1"/>
  <c r="K25" i="3" s="1"/>
  <c r="D24" i="1"/>
  <c r="E24" i="1" s="1"/>
  <c r="F24" i="1" s="1"/>
  <c r="D23" i="1"/>
  <c r="D22" i="1"/>
  <c r="D21" i="1"/>
  <c r="D20" i="1"/>
  <c r="D19" i="1"/>
  <c r="I19" i="1" s="1"/>
  <c r="J19" i="1" s="1"/>
  <c r="D18" i="1"/>
  <c r="E18" i="1" s="1"/>
  <c r="D17" i="1"/>
  <c r="D16" i="1"/>
  <c r="E16" i="1" s="1"/>
  <c r="F16" i="1" s="1"/>
  <c r="D15" i="1"/>
  <c r="I15" i="1" s="1"/>
  <c r="D14" i="1"/>
  <c r="E14" i="1" s="1"/>
  <c r="D13" i="1"/>
  <c r="D12" i="1"/>
  <c r="I12" i="1" s="1"/>
  <c r="D11" i="1"/>
  <c r="I11" i="1" s="1"/>
  <c r="K11" i="1" s="1"/>
  <c r="D10" i="1"/>
  <c r="I10" i="1" s="1"/>
  <c r="D9" i="1"/>
  <c r="D8" i="1"/>
  <c r="E8" i="1" s="1"/>
  <c r="F8" i="1" s="1"/>
  <c r="D7" i="1"/>
  <c r="I7" i="1" s="1"/>
  <c r="D6" i="1"/>
  <c r="D5" i="1"/>
  <c r="D4" i="1"/>
  <c r="D3" i="1"/>
  <c r="D2" i="1"/>
  <c r="I24" i="1" l="1"/>
  <c r="K24" i="1" s="1"/>
  <c r="I90" i="1"/>
  <c r="I31" i="1"/>
  <c r="J31" i="1" s="1"/>
  <c r="I81" i="1"/>
  <c r="J81" i="1" s="1"/>
  <c r="K36" i="1"/>
  <c r="I152" i="1"/>
  <c r="K152" i="1" s="1"/>
  <c r="K30" i="3"/>
  <c r="I51" i="1"/>
  <c r="J51" i="1" s="1"/>
  <c r="E80" i="1"/>
  <c r="F80" i="1" s="1"/>
  <c r="I82" i="1"/>
  <c r="J82" i="1" s="1"/>
  <c r="E28" i="1"/>
  <c r="F28" i="1" s="1"/>
  <c r="E30" i="1"/>
  <c r="F30" i="1" s="1"/>
  <c r="E32" i="1"/>
  <c r="F32" i="1" s="1"/>
  <c r="I55" i="1"/>
  <c r="J55" i="1" s="1"/>
  <c r="E186" i="1"/>
  <c r="F186" i="1" s="1"/>
  <c r="K27" i="3"/>
  <c r="E36" i="1"/>
  <c r="F36" i="1" s="1"/>
  <c r="I75" i="1"/>
  <c r="J75" i="1" s="1"/>
  <c r="I186" i="1"/>
  <c r="E6" i="1"/>
  <c r="F6" i="1" s="1"/>
  <c r="I23" i="1"/>
  <c r="K23" i="1" s="1"/>
  <c r="E46" i="1"/>
  <c r="F46" i="1" s="1"/>
  <c r="I49" i="1"/>
  <c r="K49" i="1" s="1"/>
  <c r="I70" i="1"/>
  <c r="J93" i="1"/>
  <c r="I184" i="1"/>
  <c r="J184" i="1" s="1"/>
  <c r="I6" i="1"/>
  <c r="K6" i="1" s="1"/>
  <c r="K38" i="3"/>
  <c r="I53" i="1"/>
  <c r="J53" i="1" s="1"/>
  <c r="I59" i="1"/>
  <c r="K59" i="1" s="1"/>
  <c r="K61" i="3"/>
  <c r="I66" i="1"/>
  <c r="K66" i="3"/>
  <c r="I74" i="1"/>
  <c r="I92" i="1"/>
  <c r="K92" i="1" s="1"/>
  <c r="I106" i="1"/>
  <c r="J106" i="1" s="1"/>
  <c r="F152" i="1"/>
  <c r="K168" i="1"/>
  <c r="J168" i="1"/>
  <c r="K53" i="3"/>
  <c r="E54" i="1"/>
  <c r="F54" i="1" s="1"/>
  <c r="K75" i="3"/>
  <c r="I86" i="1"/>
  <c r="K86" i="1" s="1"/>
  <c r="K121" i="1"/>
  <c r="J121" i="1"/>
  <c r="I161" i="1"/>
  <c r="J182" i="1"/>
  <c r="K182" i="1"/>
  <c r="K20" i="3"/>
  <c r="I20" i="1"/>
  <c r="K20" i="1" s="1"/>
  <c r="I79" i="1"/>
  <c r="J79" i="1" s="1"/>
  <c r="J80" i="1"/>
  <c r="K80" i="1"/>
  <c r="E100" i="1"/>
  <c r="F100" i="1" s="1"/>
  <c r="I100" i="1"/>
  <c r="E44" i="1"/>
  <c r="F44" i="1" s="1"/>
  <c r="K51" i="3"/>
  <c r="E52" i="1"/>
  <c r="F52" i="1" s="1"/>
  <c r="I57" i="1"/>
  <c r="E86" i="1"/>
  <c r="F86" i="1" s="1"/>
  <c r="K17" i="3"/>
  <c r="E17" i="1"/>
  <c r="F17" i="1" s="1"/>
  <c r="K136" i="1"/>
  <c r="J136" i="1"/>
  <c r="E145" i="1"/>
  <c r="F145" i="1" s="1"/>
  <c r="E4" i="1"/>
  <c r="F4" i="1" s="1"/>
  <c r="E20" i="1"/>
  <c r="F20" i="1" s="1"/>
  <c r="K21" i="3"/>
  <c r="E21" i="1"/>
  <c r="F21" i="1" s="1"/>
  <c r="I73" i="1"/>
  <c r="K73" i="1" s="1"/>
  <c r="K71" i="3"/>
  <c r="I77" i="1"/>
  <c r="K77" i="1" s="1"/>
  <c r="E77" i="1"/>
  <c r="F77" i="1" s="1"/>
  <c r="E79" i="1"/>
  <c r="F79" i="1" s="1"/>
  <c r="K73" i="3"/>
  <c r="I84" i="1"/>
  <c r="E84" i="1"/>
  <c r="F84" i="1" s="1"/>
  <c r="E97" i="1"/>
  <c r="F97" i="1" s="1"/>
  <c r="E121" i="1"/>
  <c r="F121" i="1" s="1"/>
  <c r="E161" i="1"/>
  <c r="F161" i="1" s="1"/>
  <c r="I4" i="1"/>
  <c r="K12" i="3"/>
  <c r="K13" i="3"/>
  <c r="E13" i="1"/>
  <c r="F13" i="1" s="1"/>
  <c r="K35" i="3"/>
  <c r="I35" i="1"/>
  <c r="K35" i="1" s="1"/>
  <c r="K40" i="3"/>
  <c r="E42" i="1"/>
  <c r="F42" i="1" s="1"/>
  <c r="J48" i="1"/>
  <c r="K48" i="1"/>
  <c r="K49" i="3"/>
  <c r="E50" i="1"/>
  <c r="F50" i="1" s="1"/>
  <c r="I63" i="1"/>
  <c r="J63" i="1" s="1"/>
  <c r="K65" i="3"/>
  <c r="I68" i="1"/>
  <c r="J72" i="1"/>
  <c r="K72" i="1"/>
  <c r="K72" i="3"/>
  <c r="I78" i="1"/>
  <c r="K82" i="1"/>
  <c r="E120" i="1"/>
  <c r="F120" i="1" s="1"/>
  <c r="I120" i="1"/>
  <c r="I69" i="1"/>
  <c r="J69" i="1" s="1"/>
  <c r="K104" i="1"/>
  <c r="J104" i="1"/>
  <c r="F177" i="1"/>
  <c r="E182" i="1"/>
  <c r="F182" i="1" s="1"/>
  <c r="J186" i="1"/>
  <c r="K186" i="1"/>
  <c r="I2" i="1"/>
  <c r="K2" i="1" s="1"/>
  <c r="E2" i="1"/>
  <c r="F2" i="1" s="1"/>
  <c r="K8" i="3"/>
  <c r="I8" i="1"/>
  <c r="J8" i="1" s="1"/>
  <c r="E12" i="1"/>
  <c r="F12" i="1" s="1"/>
  <c r="K16" i="3"/>
  <c r="I16" i="1"/>
  <c r="J16" i="1" s="1"/>
  <c r="E25" i="1"/>
  <c r="F25" i="1" s="1"/>
  <c r="K29" i="3"/>
  <c r="K33" i="3"/>
  <c r="I33" i="1"/>
  <c r="K33" i="1" s="1"/>
  <c r="E40" i="1"/>
  <c r="F40" i="1" s="1"/>
  <c r="E48" i="1"/>
  <c r="F48" i="1" s="1"/>
  <c r="I56" i="1"/>
  <c r="E56" i="1"/>
  <c r="F56" i="1" s="1"/>
  <c r="E68" i="1"/>
  <c r="F68" i="1" s="1"/>
  <c r="E72" i="1"/>
  <c r="F72" i="1" s="1"/>
  <c r="I76" i="1"/>
  <c r="E76" i="1"/>
  <c r="F76" i="1" s="1"/>
  <c r="E78" i="1"/>
  <c r="F78" i="1" s="1"/>
  <c r="K74" i="3"/>
  <c r="I85" i="1"/>
  <c r="K85" i="1" s="1"/>
  <c r="E85" i="1"/>
  <c r="F85" i="1" s="1"/>
  <c r="I129" i="1"/>
  <c r="E129" i="1"/>
  <c r="F129" i="1" s="1"/>
  <c r="E160" i="1"/>
  <c r="F160" i="1" s="1"/>
  <c r="I160" i="1"/>
  <c r="K160" i="1" s="1"/>
  <c r="I162" i="1"/>
  <c r="J162" i="1" s="1"/>
  <c r="K143" i="3"/>
  <c r="I188" i="1"/>
  <c r="K188" i="1" s="1"/>
  <c r="K64" i="3"/>
  <c r="K45" i="3"/>
  <c r="K24" i="3"/>
  <c r="K34" i="3"/>
  <c r="I37" i="1"/>
  <c r="J37" i="1" s="1"/>
  <c r="I39" i="1"/>
  <c r="K39" i="1" s="1"/>
  <c r="I41" i="1"/>
  <c r="J41" i="1" s="1"/>
  <c r="I43" i="1"/>
  <c r="K43" i="1" s="1"/>
  <c r="I45" i="1"/>
  <c r="K45" i="1" s="1"/>
  <c r="I47" i="1"/>
  <c r="K47" i="1" s="1"/>
  <c r="E58" i="1"/>
  <c r="F58" i="1" s="1"/>
  <c r="E60" i="1"/>
  <c r="F60" i="1" s="1"/>
  <c r="E62" i="1"/>
  <c r="F62" i="1" s="1"/>
  <c r="E64" i="1"/>
  <c r="F64" i="1" s="1"/>
  <c r="E66" i="1"/>
  <c r="F66" i="1" s="1"/>
  <c r="I67" i="1"/>
  <c r="J67" i="1" s="1"/>
  <c r="E70" i="1"/>
  <c r="F70" i="1" s="1"/>
  <c r="E74" i="1"/>
  <c r="F74" i="1" s="1"/>
  <c r="E75" i="1"/>
  <c r="F75" i="1" s="1"/>
  <c r="F81" i="1"/>
  <c r="E83" i="1"/>
  <c r="F83" i="1" s="1"/>
  <c r="F92" i="1"/>
  <c r="E93" i="1"/>
  <c r="F93" i="1" s="1"/>
  <c r="I98" i="1"/>
  <c r="J98" i="1" s="1"/>
  <c r="F106" i="1"/>
  <c r="E184" i="1"/>
  <c r="F184" i="1" s="1"/>
  <c r="K15" i="1"/>
  <c r="J15" i="1"/>
  <c r="J10" i="1"/>
  <c r="K10" i="1"/>
  <c r="K3" i="3"/>
  <c r="K5" i="3"/>
  <c r="I5" i="1"/>
  <c r="K7" i="1"/>
  <c r="K71" i="1"/>
  <c r="J71" i="1"/>
  <c r="K76" i="3"/>
  <c r="I87" i="1"/>
  <c r="E87" i="1"/>
  <c r="F87" i="1" s="1"/>
  <c r="I175" i="1"/>
  <c r="E175" i="1"/>
  <c r="F175" i="1" s="1"/>
  <c r="E5" i="1"/>
  <c r="F5" i="1" s="1"/>
  <c r="K9" i="3"/>
  <c r="I9" i="1"/>
  <c r="E10" i="1"/>
  <c r="F10" i="1" s="1"/>
  <c r="K26" i="3"/>
  <c r="I26" i="1"/>
  <c r="E26" i="1"/>
  <c r="F26" i="1" s="1"/>
  <c r="K27" i="1"/>
  <c r="J27" i="1"/>
  <c r="J35" i="1"/>
  <c r="K83" i="1"/>
  <c r="J83" i="1"/>
  <c r="I111" i="1"/>
  <c r="E111" i="1"/>
  <c r="F111" i="1" s="1"/>
  <c r="K130" i="1"/>
  <c r="J130" i="1"/>
  <c r="K124" i="3"/>
  <c r="I155" i="1"/>
  <c r="E155" i="1"/>
  <c r="F155" i="1" s="1"/>
  <c r="K15" i="3"/>
  <c r="E15" i="1"/>
  <c r="F15" i="1" s="1"/>
  <c r="K53" i="1"/>
  <c r="E3" i="1"/>
  <c r="F3" i="1" s="1"/>
  <c r="J7" i="1"/>
  <c r="K12" i="1"/>
  <c r="J12" i="1"/>
  <c r="K22" i="3"/>
  <c r="I22" i="1"/>
  <c r="K7" i="3"/>
  <c r="E7" i="1"/>
  <c r="F7" i="1" s="1"/>
  <c r="E9" i="1"/>
  <c r="F9" i="1" s="1"/>
  <c r="J11" i="1"/>
  <c r="K18" i="3"/>
  <c r="I18" i="1"/>
  <c r="F18" i="1"/>
  <c r="E22" i="1"/>
  <c r="F22" i="1" s="1"/>
  <c r="K23" i="3"/>
  <c r="E23" i="1"/>
  <c r="F23" i="1" s="1"/>
  <c r="K29" i="1"/>
  <c r="J29" i="1"/>
  <c r="K46" i="1"/>
  <c r="K57" i="1"/>
  <c r="J57" i="1"/>
  <c r="K60" i="1"/>
  <c r="K65" i="1"/>
  <c r="J65" i="1"/>
  <c r="J73" i="1"/>
  <c r="K80" i="3"/>
  <c r="E94" i="1"/>
  <c r="F94" i="1" s="1"/>
  <c r="I94" i="1"/>
  <c r="K99" i="3"/>
  <c r="I123" i="1"/>
  <c r="E123" i="1"/>
  <c r="F123" i="1" s="1"/>
  <c r="I133" i="1"/>
  <c r="E133" i="1"/>
  <c r="F133" i="1" s="1"/>
  <c r="K116" i="3"/>
  <c r="E146" i="1"/>
  <c r="F146" i="1" s="1"/>
  <c r="I146" i="1"/>
  <c r="E156" i="1"/>
  <c r="F156" i="1" s="1"/>
  <c r="I156" i="1"/>
  <c r="K158" i="1"/>
  <c r="J158" i="1"/>
  <c r="I165" i="1"/>
  <c r="E165" i="1"/>
  <c r="F165" i="1" s="1"/>
  <c r="K136" i="3"/>
  <c r="E178" i="1"/>
  <c r="F178" i="1" s="1"/>
  <c r="I178" i="1"/>
  <c r="K10" i="3"/>
  <c r="K19" i="1"/>
  <c r="K61" i="1"/>
  <c r="J61" i="1"/>
  <c r="K90" i="1"/>
  <c r="J90" i="1"/>
  <c r="K85" i="3"/>
  <c r="E102" i="1"/>
  <c r="F102" i="1" s="1"/>
  <c r="I102" i="1"/>
  <c r="I143" i="1"/>
  <c r="E143" i="1"/>
  <c r="F143" i="1" s="1"/>
  <c r="K2" i="3"/>
  <c r="I3" i="1"/>
  <c r="K6" i="3"/>
  <c r="K11" i="3"/>
  <c r="E11" i="1"/>
  <c r="F11" i="1" s="1"/>
  <c r="K14" i="3"/>
  <c r="I14" i="1"/>
  <c r="F14" i="1"/>
  <c r="K19" i="3"/>
  <c r="E19" i="1"/>
  <c r="F19" i="1" s="1"/>
  <c r="K51" i="1"/>
  <c r="K62" i="1"/>
  <c r="I95" i="1"/>
  <c r="E95" i="1"/>
  <c r="F95" i="1" s="1"/>
  <c r="E114" i="1"/>
  <c r="F114" i="1" s="1"/>
  <c r="I114" i="1"/>
  <c r="K100" i="3"/>
  <c r="E124" i="1"/>
  <c r="F124" i="1" s="1"/>
  <c r="I124" i="1"/>
  <c r="K126" i="1"/>
  <c r="J126" i="1"/>
  <c r="K128" i="1"/>
  <c r="J128" i="1"/>
  <c r="K108" i="3"/>
  <c r="E134" i="1"/>
  <c r="F134" i="1" s="1"/>
  <c r="I134" i="1"/>
  <c r="K129" i="3"/>
  <c r="E166" i="1"/>
  <c r="F166" i="1" s="1"/>
  <c r="I166" i="1"/>
  <c r="K59" i="3"/>
  <c r="K77" i="3"/>
  <c r="E88" i="1"/>
  <c r="F88" i="1" s="1"/>
  <c r="K78" i="3"/>
  <c r="I89" i="1"/>
  <c r="J91" i="1"/>
  <c r="K81" i="3"/>
  <c r="E96" i="1"/>
  <c r="F96" i="1" s="1"/>
  <c r="K82" i="3"/>
  <c r="I97" i="1"/>
  <c r="K107" i="1"/>
  <c r="K90" i="3"/>
  <c r="I109" i="1"/>
  <c r="F109" i="1"/>
  <c r="K91" i="3"/>
  <c r="E110" i="1"/>
  <c r="F110" i="1" s="1"/>
  <c r="K97" i="3"/>
  <c r="I119" i="1"/>
  <c r="E119" i="1"/>
  <c r="F119" i="1" s="1"/>
  <c r="K98" i="3"/>
  <c r="E122" i="1"/>
  <c r="F122" i="1" s="1"/>
  <c r="K106" i="3"/>
  <c r="I131" i="1"/>
  <c r="K107" i="3"/>
  <c r="E132" i="1"/>
  <c r="F132" i="1" s="1"/>
  <c r="I132" i="1"/>
  <c r="K138" i="1"/>
  <c r="J138" i="1"/>
  <c r="K113" i="3"/>
  <c r="I141" i="1"/>
  <c r="F141" i="1"/>
  <c r="E142" i="1"/>
  <c r="F142" i="1" s="1"/>
  <c r="K121" i="3"/>
  <c r="I151" i="1"/>
  <c r="E151" i="1"/>
  <c r="F151" i="1" s="1"/>
  <c r="K123" i="3"/>
  <c r="E154" i="1"/>
  <c r="F154" i="1" s="1"/>
  <c r="K128" i="3"/>
  <c r="I163" i="1"/>
  <c r="E164" i="1"/>
  <c r="F164" i="1" s="1"/>
  <c r="I164" i="1"/>
  <c r="K170" i="1"/>
  <c r="J170" i="1"/>
  <c r="K171" i="1"/>
  <c r="I173" i="1"/>
  <c r="F173" i="1"/>
  <c r="K133" i="3"/>
  <c r="E174" i="1"/>
  <c r="F174" i="1" s="1"/>
  <c r="K139" i="3"/>
  <c r="E183" i="1"/>
  <c r="F183" i="1" s="1"/>
  <c r="K4" i="3"/>
  <c r="I13" i="1"/>
  <c r="I17" i="1"/>
  <c r="I21" i="1"/>
  <c r="J24" i="1"/>
  <c r="I25" i="1"/>
  <c r="E27" i="1"/>
  <c r="F27" i="1" s="1"/>
  <c r="I28" i="1"/>
  <c r="E29" i="1"/>
  <c r="F29" i="1" s="1"/>
  <c r="I30" i="1"/>
  <c r="E31" i="1"/>
  <c r="F31" i="1" s="1"/>
  <c r="I32" i="1"/>
  <c r="E33" i="1"/>
  <c r="F33" i="1" s="1"/>
  <c r="I34" i="1"/>
  <c r="E35" i="1"/>
  <c r="F35" i="1" s="1"/>
  <c r="E37" i="1"/>
  <c r="F37" i="1" s="1"/>
  <c r="I38" i="1"/>
  <c r="E39" i="1"/>
  <c r="F39" i="1" s="1"/>
  <c r="I40" i="1"/>
  <c r="E41" i="1"/>
  <c r="F41" i="1" s="1"/>
  <c r="I42" i="1"/>
  <c r="E43" i="1"/>
  <c r="F43" i="1" s="1"/>
  <c r="I44" i="1"/>
  <c r="E45" i="1"/>
  <c r="F45" i="1" s="1"/>
  <c r="E47" i="1"/>
  <c r="F47" i="1" s="1"/>
  <c r="E49" i="1"/>
  <c r="F49" i="1" s="1"/>
  <c r="I50" i="1"/>
  <c r="E51" i="1"/>
  <c r="F51" i="1" s="1"/>
  <c r="I52" i="1"/>
  <c r="E53" i="1"/>
  <c r="F53" i="1" s="1"/>
  <c r="I54" i="1"/>
  <c r="E55" i="1"/>
  <c r="E57" i="1"/>
  <c r="F57" i="1" s="1"/>
  <c r="I58" i="1"/>
  <c r="E59" i="1"/>
  <c r="F59" i="1" s="1"/>
  <c r="E61" i="1"/>
  <c r="F61" i="1" s="1"/>
  <c r="E63" i="1"/>
  <c r="F63" i="1" s="1"/>
  <c r="I64" i="1"/>
  <c r="E65" i="1"/>
  <c r="F65" i="1" s="1"/>
  <c r="E67" i="1"/>
  <c r="F67" i="1" s="1"/>
  <c r="E69" i="1"/>
  <c r="F69" i="1" s="1"/>
  <c r="E71" i="1"/>
  <c r="F71" i="1" s="1"/>
  <c r="E73" i="1"/>
  <c r="F73" i="1" s="1"/>
  <c r="K83" i="3"/>
  <c r="I99" i="1"/>
  <c r="K89" i="3"/>
  <c r="E108" i="1"/>
  <c r="F108" i="1" s="1"/>
  <c r="I108" i="1"/>
  <c r="I117" i="1"/>
  <c r="K96" i="3"/>
  <c r="E118" i="1"/>
  <c r="F118" i="1" s="1"/>
  <c r="K103" i="3"/>
  <c r="I127" i="1"/>
  <c r="E127" i="1"/>
  <c r="F127" i="1" s="1"/>
  <c r="K105" i="3"/>
  <c r="E130" i="1"/>
  <c r="F130" i="1" s="1"/>
  <c r="K112" i="3"/>
  <c r="I139" i="1"/>
  <c r="E140" i="1"/>
  <c r="F140" i="1" s="1"/>
  <c r="I140" i="1"/>
  <c r="K119" i="3"/>
  <c r="I149" i="1"/>
  <c r="K120" i="3"/>
  <c r="E150" i="1"/>
  <c r="F150" i="1" s="1"/>
  <c r="I159" i="1"/>
  <c r="K127" i="3"/>
  <c r="E159" i="1"/>
  <c r="F159" i="1" s="1"/>
  <c r="E172" i="1"/>
  <c r="F172" i="1" s="1"/>
  <c r="I172" i="1"/>
  <c r="I181" i="1"/>
  <c r="E187" i="1"/>
  <c r="F187" i="1" s="1"/>
  <c r="K36" i="3"/>
  <c r="K47" i="3"/>
  <c r="F55" i="1"/>
  <c r="K58" i="3"/>
  <c r="K60" i="3"/>
  <c r="I88" i="1"/>
  <c r="F89" i="1"/>
  <c r="F90" i="1"/>
  <c r="E91" i="1"/>
  <c r="F91" i="1" s="1"/>
  <c r="I96" i="1"/>
  <c r="F98" i="1"/>
  <c r="E99" i="1"/>
  <c r="F99" i="1" s="1"/>
  <c r="K84" i="3"/>
  <c r="I101" i="1"/>
  <c r="K86" i="3"/>
  <c r="I103" i="1"/>
  <c r="E103" i="1"/>
  <c r="F103" i="1" s="1"/>
  <c r="E107" i="1"/>
  <c r="F107" i="1" s="1"/>
  <c r="J110" i="1"/>
  <c r="J112" i="1"/>
  <c r="K94" i="3"/>
  <c r="I115" i="1"/>
  <c r="E116" i="1"/>
  <c r="F116" i="1" s="1"/>
  <c r="I116" i="1"/>
  <c r="K95" i="3"/>
  <c r="E117" i="1"/>
  <c r="F117" i="1" s="1"/>
  <c r="I118" i="1"/>
  <c r="I122" i="1"/>
  <c r="K101" i="3"/>
  <c r="I125" i="1"/>
  <c r="F125" i="1"/>
  <c r="K102" i="3"/>
  <c r="E126" i="1"/>
  <c r="F126" i="1" s="1"/>
  <c r="F131" i="1"/>
  <c r="I135" i="1"/>
  <c r="E135" i="1"/>
  <c r="F135" i="1" s="1"/>
  <c r="E138" i="1"/>
  <c r="F138" i="1" s="1"/>
  <c r="K111" i="3"/>
  <c r="E139" i="1"/>
  <c r="F139" i="1" s="1"/>
  <c r="J142" i="1"/>
  <c r="J144" i="1"/>
  <c r="K117" i="3"/>
  <c r="I147" i="1"/>
  <c r="K118" i="3"/>
  <c r="E148" i="1"/>
  <c r="F148" i="1" s="1"/>
  <c r="I148" i="1"/>
  <c r="E149" i="1"/>
  <c r="F149" i="1" s="1"/>
  <c r="I150" i="1"/>
  <c r="I154" i="1"/>
  <c r="K125" i="3"/>
  <c r="I157" i="1"/>
  <c r="F157" i="1"/>
  <c r="K126" i="3"/>
  <c r="E158" i="1"/>
  <c r="F158" i="1" s="1"/>
  <c r="F162" i="1"/>
  <c r="F163" i="1"/>
  <c r="I167" i="1"/>
  <c r="E167" i="1"/>
  <c r="F167" i="1" s="1"/>
  <c r="K132" i="3"/>
  <c r="E170" i="1"/>
  <c r="F170" i="1" s="1"/>
  <c r="E171" i="1"/>
  <c r="F171" i="1" s="1"/>
  <c r="J174" i="1"/>
  <c r="J176" i="1"/>
  <c r="K137" i="3"/>
  <c r="I179" i="1"/>
  <c r="K138" i="3"/>
  <c r="E180" i="1"/>
  <c r="F180" i="1" s="1"/>
  <c r="I180" i="1"/>
  <c r="E181" i="1"/>
  <c r="F181" i="1" s="1"/>
  <c r="K183" i="1"/>
  <c r="K141" i="3"/>
  <c r="F185" i="1"/>
  <c r="I185" i="1"/>
  <c r="I187" i="1"/>
  <c r="K79" i="3"/>
  <c r="J2" i="3"/>
  <c r="K87" i="3"/>
  <c r="E104" i="1"/>
  <c r="F104" i="1" s="1"/>
  <c r="K88" i="3"/>
  <c r="I105" i="1"/>
  <c r="K92" i="3"/>
  <c r="E112" i="1"/>
  <c r="F112" i="1" s="1"/>
  <c r="K93" i="3"/>
  <c r="I113" i="1"/>
  <c r="K104" i="3"/>
  <c r="E128" i="1"/>
  <c r="F128" i="1" s="1"/>
  <c r="K109" i="3"/>
  <c r="E136" i="1"/>
  <c r="F136" i="1" s="1"/>
  <c r="K110" i="3"/>
  <c r="I137" i="1"/>
  <c r="K114" i="3"/>
  <c r="E144" i="1"/>
  <c r="F144" i="1" s="1"/>
  <c r="K115" i="3"/>
  <c r="I145" i="1"/>
  <c r="K122" i="3"/>
  <c r="I153" i="1"/>
  <c r="K130" i="3"/>
  <c r="E168" i="1"/>
  <c r="F168" i="1" s="1"/>
  <c r="K131" i="3"/>
  <c r="I169" i="1"/>
  <c r="K134" i="3"/>
  <c r="E176" i="1"/>
  <c r="F176" i="1" s="1"/>
  <c r="K135" i="3"/>
  <c r="I177" i="1"/>
  <c r="K37" i="1" l="1"/>
  <c r="J33" i="1"/>
  <c r="J45" i="1"/>
  <c r="K106" i="1"/>
  <c r="K69" i="1"/>
  <c r="K8" i="1"/>
  <c r="J2" i="1"/>
  <c r="K31" i="1"/>
  <c r="K16" i="1"/>
  <c r="J152" i="1"/>
  <c r="K63" i="1"/>
  <c r="K79" i="1"/>
  <c r="K98" i="1"/>
  <c r="K81" i="1"/>
  <c r="J160" i="1"/>
  <c r="K75" i="1"/>
  <c r="K55" i="1"/>
  <c r="J23" i="1"/>
  <c r="J6" i="1"/>
  <c r="K162" i="1"/>
  <c r="K41" i="1"/>
  <c r="J77" i="1"/>
  <c r="J43" i="1"/>
  <c r="J74" i="1"/>
  <c r="K74" i="1"/>
  <c r="J188" i="1"/>
  <c r="J59" i="1"/>
  <c r="J20" i="1"/>
  <c r="J49" i="1"/>
  <c r="J92" i="1"/>
  <c r="K184" i="1"/>
  <c r="K67" i="1"/>
  <c r="J86" i="1"/>
  <c r="J66" i="1"/>
  <c r="K66" i="1"/>
  <c r="J70" i="1"/>
  <c r="K70" i="1"/>
  <c r="J39" i="1"/>
  <c r="J85" i="1"/>
  <c r="J84" i="1"/>
  <c r="K84" i="1"/>
  <c r="K100" i="1"/>
  <c r="J100" i="1"/>
  <c r="J47" i="1"/>
  <c r="J76" i="1"/>
  <c r="K76" i="1"/>
  <c r="J56" i="1"/>
  <c r="K56" i="1"/>
  <c r="K129" i="1"/>
  <c r="J129" i="1"/>
  <c r="K120" i="1"/>
  <c r="J120" i="1"/>
  <c r="J78" i="1"/>
  <c r="K78" i="1"/>
  <c r="J68" i="1"/>
  <c r="K68" i="1"/>
  <c r="J4" i="1"/>
  <c r="K4" i="1"/>
  <c r="K161" i="1"/>
  <c r="J161" i="1"/>
  <c r="K177" i="1"/>
  <c r="J177" i="1"/>
  <c r="J181" i="1"/>
  <c r="K181" i="1"/>
  <c r="J44" i="1"/>
  <c r="K44" i="1"/>
  <c r="K153" i="1"/>
  <c r="J153" i="1"/>
  <c r="K180" i="1"/>
  <c r="J180" i="1"/>
  <c r="K167" i="1"/>
  <c r="J167" i="1"/>
  <c r="J147" i="1"/>
  <c r="K147" i="1"/>
  <c r="K165" i="1"/>
  <c r="J165" i="1"/>
  <c r="J123" i="1"/>
  <c r="K123" i="1"/>
  <c r="K18" i="1"/>
  <c r="J18" i="1"/>
  <c r="J5" i="1"/>
  <c r="K5" i="1"/>
  <c r="K148" i="1"/>
  <c r="J148" i="1"/>
  <c r="K135" i="1"/>
  <c r="J135" i="1"/>
  <c r="K125" i="1"/>
  <c r="J125" i="1"/>
  <c r="J115" i="1"/>
  <c r="K115" i="1"/>
  <c r="K140" i="1"/>
  <c r="J140" i="1"/>
  <c r="J64" i="1"/>
  <c r="K64" i="1"/>
  <c r="J58" i="1"/>
  <c r="K58" i="1"/>
  <c r="J34" i="1"/>
  <c r="K34" i="1"/>
  <c r="J30" i="1"/>
  <c r="K30" i="1"/>
  <c r="J25" i="1"/>
  <c r="K25" i="1"/>
  <c r="J13" i="1"/>
  <c r="K13" i="1"/>
  <c r="J151" i="1"/>
  <c r="K151" i="1"/>
  <c r="J131" i="1"/>
  <c r="K131" i="1"/>
  <c r="K97" i="1"/>
  <c r="J97" i="1"/>
  <c r="K134" i="1"/>
  <c r="J134" i="1"/>
  <c r="J95" i="1"/>
  <c r="K95" i="1"/>
  <c r="K143" i="1"/>
  <c r="J143" i="1"/>
  <c r="K169" i="1"/>
  <c r="J169" i="1"/>
  <c r="K105" i="1"/>
  <c r="J105" i="1"/>
  <c r="K127" i="1"/>
  <c r="J127" i="1"/>
  <c r="J54" i="1"/>
  <c r="K54" i="1"/>
  <c r="J50" i="1"/>
  <c r="K50" i="1"/>
  <c r="J40" i="1"/>
  <c r="K40" i="1"/>
  <c r="J17" i="1"/>
  <c r="K17" i="1"/>
  <c r="K156" i="1"/>
  <c r="J156" i="1"/>
  <c r="K133" i="1"/>
  <c r="J133" i="1"/>
  <c r="K145" i="1"/>
  <c r="J145" i="1"/>
  <c r="K137" i="1"/>
  <c r="J137" i="1"/>
  <c r="K154" i="1"/>
  <c r="J154" i="1"/>
  <c r="K172" i="1"/>
  <c r="J172" i="1"/>
  <c r="K159" i="1"/>
  <c r="J159" i="1"/>
  <c r="K117" i="1"/>
  <c r="J117" i="1"/>
  <c r="K99" i="1"/>
  <c r="J99" i="1"/>
  <c r="J52" i="1"/>
  <c r="K52" i="1"/>
  <c r="J42" i="1"/>
  <c r="K42" i="1"/>
  <c r="J38" i="1"/>
  <c r="K38" i="1"/>
  <c r="J173" i="1"/>
  <c r="K173" i="1"/>
  <c r="K164" i="1"/>
  <c r="J164" i="1"/>
  <c r="J141" i="1"/>
  <c r="K141" i="1"/>
  <c r="K132" i="1"/>
  <c r="J132" i="1"/>
  <c r="J119" i="1"/>
  <c r="K119" i="1"/>
  <c r="K89" i="1"/>
  <c r="J89" i="1"/>
  <c r="K102" i="1"/>
  <c r="J102" i="1"/>
  <c r="J22" i="1"/>
  <c r="K22" i="1"/>
  <c r="J155" i="1"/>
  <c r="K155" i="1"/>
  <c r="K26" i="1"/>
  <c r="J26" i="1"/>
  <c r="J9" i="1"/>
  <c r="K9" i="1"/>
  <c r="K175" i="1"/>
  <c r="J175" i="1"/>
  <c r="J87" i="1"/>
  <c r="K87" i="1"/>
  <c r="K113" i="1"/>
  <c r="J113" i="1"/>
  <c r="K157" i="1"/>
  <c r="J157" i="1"/>
  <c r="K118" i="1"/>
  <c r="J118" i="1"/>
  <c r="K103" i="1"/>
  <c r="J103" i="1"/>
  <c r="J163" i="1"/>
  <c r="K163" i="1"/>
  <c r="J109" i="1"/>
  <c r="K109" i="1"/>
  <c r="K14" i="1"/>
  <c r="J14" i="1"/>
  <c r="K111" i="1"/>
  <c r="J111" i="1"/>
  <c r="J187" i="1"/>
  <c r="K187" i="1"/>
  <c r="K101" i="1"/>
  <c r="J101" i="1"/>
  <c r="J185" i="1"/>
  <c r="K185" i="1"/>
  <c r="J179" i="1"/>
  <c r="K179" i="1"/>
  <c r="K150" i="1"/>
  <c r="J150" i="1"/>
  <c r="K122" i="1"/>
  <c r="J122" i="1"/>
  <c r="K116" i="1"/>
  <c r="J116" i="1"/>
  <c r="K96" i="1"/>
  <c r="J96" i="1"/>
  <c r="K88" i="1"/>
  <c r="J88" i="1"/>
  <c r="K149" i="1"/>
  <c r="J149" i="1"/>
  <c r="J139" i="1"/>
  <c r="K139" i="1"/>
  <c r="K108" i="1"/>
  <c r="J108" i="1"/>
  <c r="J32" i="1"/>
  <c r="K32" i="1"/>
  <c r="J28" i="1"/>
  <c r="K28" i="1"/>
  <c r="J21" i="1"/>
  <c r="K21" i="1"/>
  <c r="K166" i="1"/>
  <c r="J166" i="1"/>
  <c r="K124" i="1"/>
  <c r="J124" i="1"/>
  <c r="K114" i="1"/>
  <c r="J114" i="1"/>
  <c r="K3" i="1"/>
  <c r="J3" i="1"/>
  <c r="K178" i="1"/>
  <c r="J178" i="1"/>
  <c r="K146" i="1"/>
  <c r="J146" i="1"/>
  <c r="K94" i="1"/>
  <c r="J94" i="1"/>
</calcChain>
</file>

<file path=xl/sharedStrings.xml><?xml version="1.0" encoding="utf-8"?>
<sst xmlns="http://schemas.openxmlformats.org/spreadsheetml/2006/main" count="1949" uniqueCount="685">
  <si>
    <t>Row Labels</t>
  </si>
  <si>
    <t>Sum of Összes költés</t>
  </si>
  <si>
    <t>Tóth Szabolcs</t>
  </si>
  <si>
    <t>Egyszeri Vásárló</t>
  </si>
  <si>
    <t>Bratislava</t>
  </si>
  <si>
    <t>Szabó Hanna</t>
  </si>
  <si>
    <t>VIP</t>
  </si>
  <si>
    <t>Košice</t>
  </si>
  <si>
    <t>Sum of Nettó Összeg</t>
  </si>
  <si>
    <t>Sum of Profit</t>
  </si>
  <si>
    <t>Sum of Mennyiség</t>
  </si>
  <si>
    <t>Kiss István</t>
  </si>
  <si>
    <t>Visszatérő Vásárló</t>
  </si>
  <si>
    <t>Žilina</t>
  </si>
  <si>
    <t>Samsung ProDisplay 27"</t>
  </si>
  <si>
    <t>Dell VisionX 27"</t>
  </si>
  <si>
    <t>Grand Total</t>
  </si>
  <si>
    <t>Samsung ClearScreen 24"</t>
  </si>
  <si>
    <t>Acer ClearScreen 24"</t>
  </si>
  <si>
    <t>ASUS OptiView 32"</t>
  </si>
  <si>
    <t>HP ProDisplay 27"</t>
  </si>
  <si>
    <t>ASUS FlexiMonitor 32"</t>
  </si>
  <si>
    <t>Acer OptiView 27"</t>
  </si>
  <si>
    <t>Samsung FlexiMonitor 27"</t>
  </si>
  <si>
    <t>Dell ProDisplay 27"</t>
  </si>
  <si>
    <t>Samsung FlexiMonitor 24"</t>
  </si>
  <si>
    <t>LG ClearScreen 27"</t>
  </si>
  <si>
    <t>HP VisionX 27"</t>
  </si>
  <si>
    <t>Samsung UltraView 27"</t>
  </si>
  <si>
    <t>LG VisionX 32"</t>
  </si>
  <si>
    <t>Samsung OptiView 32"</t>
  </si>
  <si>
    <t>BenQ UltraView 32"</t>
  </si>
  <si>
    <t>LG ProDisplay 32"</t>
  </si>
  <si>
    <t>Samsung VisionX 32"</t>
  </si>
  <si>
    <t>Dell OptiView 24"</t>
  </si>
  <si>
    <t>ASUS ClearScreen 27"</t>
  </si>
  <si>
    <t>LG OptiView 24"</t>
  </si>
  <si>
    <t>Sum of Rendelt mennyiség</t>
  </si>
  <si>
    <t>24"</t>
  </si>
  <si>
    <t>ASUS</t>
  </si>
  <si>
    <t>27"</t>
  </si>
  <si>
    <t>32"</t>
  </si>
  <si>
    <t>Dell</t>
  </si>
  <si>
    <t>HP</t>
  </si>
  <si>
    <t>LG</t>
  </si>
  <si>
    <t>Samsung</t>
  </si>
  <si>
    <t>Rendelés Dátuma</t>
  </si>
  <si>
    <t>Termék</t>
  </si>
  <si>
    <t>Mennyiség</t>
  </si>
  <si>
    <t>Nettó Összeg</t>
  </si>
  <si>
    <t>ÁFA (27%)</t>
  </si>
  <si>
    <t>Bruttó Összeg</t>
  </si>
  <si>
    <t>Állapot</t>
  </si>
  <si>
    <t>Rendelő</t>
  </si>
  <si>
    <t>Profit</t>
  </si>
  <si>
    <t>Profit %</t>
  </si>
  <si>
    <t>Markup</t>
  </si>
  <si>
    <t>Márka</t>
  </si>
  <si>
    <t>Méret</t>
  </si>
  <si>
    <t>Nettó Eladási Ár / db</t>
  </si>
  <si>
    <t>Nettó Beszerzési Ár / db</t>
  </si>
  <si>
    <t>Teljes bevétel</t>
  </si>
  <si>
    <t>Nincs fizetve</t>
  </si>
  <si>
    <t>Molnár Eszter</t>
  </si>
  <si>
    <t>Németh Péter</t>
  </si>
  <si>
    <t>Fizetve</t>
  </si>
  <si>
    <t>Kiss László</t>
  </si>
  <si>
    <t>Molnár Orsolya</t>
  </si>
  <si>
    <t>Szabó Ádám</t>
  </si>
  <si>
    <t>Németh Tamás</t>
  </si>
  <si>
    <t>Nagy Bence</t>
  </si>
  <si>
    <t>Nagy György</t>
  </si>
  <si>
    <t>Nagy Csilla</t>
  </si>
  <si>
    <t>Farkas Zoltán</t>
  </si>
  <si>
    <t>Tóth Hanna</t>
  </si>
  <si>
    <t>Tóth Nóra</t>
  </si>
  <si>
    <t>Farkas Márton</t>
  </si>
  <si>
    <t>Tóth Júlia</t>
  </si>
  <si>
    <t>Szabó Eszter</t>
  </si>
  <si>
    <t>Kiss Dániel</t>
  </si>
  <si>
    <t>Horváth Júlia</t>
  </si>
  <si>
    <t>Molnár Hanna</t>
  </si>
  <si>
    <t>Varga Márton</t>
  </si>
  <si>
    <t>Németh István</t>
  </si>
  <si>
    <t>Nagy Zoltán</t>
  </si>
  <si>
    <t>Németh Szabolcs</t>
  </si>
  <si>
    <t>Tóth Eszter</t>
  </si>
  <si>
    <t>Szabó Éva</t>
  </si>
  <si>
    <t>Varga Viktória</t>
  </si>
  <si>
    <t>Kovács Katalin</t>
  </si>
  <si>
    <t>Szabó Zoltán</t>
  </si>
  <si>
    <t>Molnár György</t>
  </si>
  <si>
    <t>Horváth Tamás</t>
  </si>
  <si>
    <t>Nagy Ádám</t>
  </si>
  <si>
    <t>Nagy Tamás</t>
  </si>
  <si>
    <t>Németh Eszter</t>
  </si>
  <si>
    <t>Farkas Tamás</t>
  </si>
  <si>
    <t>Horváth Péter</t>
  </si>
  <si>
    <t>Kiss Tamás</t>
  </si>
  <si>
    <t>Tóth Ádám</t>
  </si>
  <si>
    <t>Tóth Dániel</t>
  </si>
  <si>
    <t>Kiss Ferenc</t>
  </si>
  <si>
    <t>Szabó Zsófia</t>
  </si>
  <si>
    <t>Horváth László</t>
  </si>
  <si>
    <t>Horváth Szabolcs</t>
  </si>
  <si>
    <t>Nagy Orsolya</t>
  </si>
  <si>
    <t>Farkas László</t>
  </si>
  <si>
    <t>Varga Ferenc</t>
  </si>
  <si>
    <t>Kiss Éva</t>
  </si>
  <si>
    <t>Szabó Gábor</t>
  </si>
  <si>
    <t>Szabó Bence</t>
  </si>
  <si>
    <t>Horváth Hanna</t>
  </si>
  <si>
    <t>Kiss Róbert</t>
  </si>
  <si>
    <t>Nagy Dániel</t>
  </si>
  <si>
    <t>Kovács Orsolya</t>
  </si>
  <si>
    <t>Horváth Eszter</t>
  </si>
  <si>
    <t>Molnár Ágnes</t>
  </si>
  <si>
    <t>Molnár Róbert</t>
  </si>
  <si>
    <t>Molnár Viktória</t>
  </si>
  <si>
    <t>Horváth Orsolya</t>
  </si>
  <si>
    <t>Varga Róbert</t>
  </si>
  <si>
    <t>Tóth Ferenc</t>
  </si>
  <si>
    <t>Kovács Ádám</t>
  </si>
  <si>
    <t>Nagy Hanna</t>
  </si>
  <si>
    <t>Kovács László</t>
  </si>
  <si>
    <t>Molnár Nóra</t>
  </si>
  <si>
    <t>Szabó István</t>
  </si>
  <si>
    <t>Németh György</t>
  </si>
  <si>
    <t>Kiss Gábor</t>
  </si>
  <si>
    <t>Varga Szabolcs</t>
  </si>
  <si>
    <t>Németh Ferenc</t>
  </si>
  <si>
    <t>Németh Ágnes</t>
  </si>
  <si>
    <t>Horváth Márton</t>
  </si>
  <si>
    <t>Tóth Zsófia</t>
  </si>
  <si>
    <t>Farkas Ádám</t>
  </si>
  <si>
    <t>Kiss Csilla</t>
  </si>
  <si>
    <t>Farkas Péter</t>
  </si>
  <si>
    <t>Farkas Eszter</t>
  </si>
  <si>
    <t>Szabó Szabolcs</t>
  </si>
  <si>
    <t>Horváth Csilla</t>
  </si>
  <si>
    <t>Szabó László</t>
  </si>
  <si>
    <t>Kiss Hanna</t>
  </si>
  <si>
    <t>Tóth Katalin</t>
  </si>
  <si>
    <t>Molnár Tamás</t>
  </si>
  <si>
    <t>Horváth Zoltán</t>
  </si>
  <si>
    <t>Nagy Szabolcs</t>
  </si>
  <si>
    <t>Kovács Nóra</t>
  </si>
  <si>
    <t>Szabó Katalin</t>
  </si>
  <si>
    <t>Kiss Eszter</t>
  </si>
  <si>
    <t>Molnár Éva</t>
  </si>
  <si>
    <t>Farkas Nóra</t>
  </si>
  <si>
    <t>Horváth Ágnes</t>
  </si>
  <si>
    <t>Németh Gábor</t>
  </si>
  <si>
    <t>Kovács Zsófia</t>
  </si>
  <si>
    <t>Molnár Szabolcs</t>
  </si>
  <si>
    <t>Németh Éva</t>
  </si>
  <si>
    <t>Kovács Dániel</t>
  </si>
  <si>
    <t>Kovács Ágnes</t>
  </si>
  <si>
    <t>Molnár Ádám</t>
  </si>
  <si>
    <t>Németh Viktória</t>
  </si>
  <si>
    <t>Szabó Ferenc</t>
  </si>
  <si>
    <t>Kovács Bence</t>
  </si>
  <si>
    <t>Tóth Viktória</t>
  </si>
  <si>
    <t>Varga Gábor</t>
  </si>
  <si>
    <t>Farkas Róbert</t>
  </si>
  <si>
    <t>Szabó Róbert</t>
  </si>
  <si>
    <t>Kiss Nóra</t>
  </si>
  <si>
    <t>Németh Zoltán</t>
  </si>
  <si>
    <t>Nagy István</t>
  </si>
  <si>
    <t>Kovács Márton</t>
  </si>
  <si>
    <t>Farkas Bence</t>
  </si>
  <si>
    <t>Varga Nóra</t>
  </si>
  <si>
    <t>Farkas Dániel</t>
  </si>
  <si>
    <t>Molnár Zsófia</t>
  </si>
  <si>
    <t>Farkas György</t>
  </si>
  <si>
    <t>Németh Csilla</t>
  </si>
  <si>
    <t>Varga Eszter</t>
  </si>
  <si>
    <t>Farkas Viktória</t>
  </si>
  <si>
    <t>Kiss Orsolya</t>
  </si>
  <si>
    <t>Tóth Gábor</t>
  </si>
  <si>
    <t>Nagy Nóra</t>
  </si>
  <si>
    <t>Nagy Róbert</t>
  </si>
  <si>
    <t>Németh Júlia</t>
  </si>
  <si>
    <t>Horváth Nóra</t>
  </si>
  <si>
    <t>Farkas Ferenc</t>
  </si>
  <si>
    <t>Kovács Éva</t>
  </si>
  <si>
    <t>Kovács Csilla</t>
  </si>
  <si>
    <t>Varga Zoltán</t>
  </si>
  <si>
    <t>Varga Orsolya</t>
  </si>
  <si>
    <t>Nagy Katalin</t>
  </si>
  <si>
    <t>Farkas Zsófia</t>
  </si>
  <si>
    <t>Kovács Hanna</t>
  </si>
  <si>
    <t>Tóth Tamás</t>
  </si>
  <si>
    <t>Nagy Ágnes</t>
  </si>
  <si>
    <t>Kiss Bence</t>
  </si>
  <si>
    <t>Horváth György</t>
  </si>
  <si>
    <t>Tóth Orsolya</t>
  </si>
  <si>
    <t>Kovács Zoltán</t>
  </si>
  <si>
    <t>Varga Csilla</t>
  </si>
  <si>
    <t>Tóth István</t>
  </si>
  <si>
    <t>Kovács István</t>
  </si>
  <si>
    <t>Németh Katalin</t>
  </si>
  <si>
    <t>Horváth Dániel</t>
  </si>
  <si>
    <t>Eladások</t>
  </si>
  <si>
    <t xml:space="preserve">Profit </t>
  </si>
  <si>
    <t xml:space="preserve">% Profit </t>
  </si>
  <si>
    <t>Rendelt Mennyiség</t>
  </si>
  <si>
    <t>Nettó eladási ár</t>
  </si>
  <si>
    <t>Monitorok Kft. KPI:</t>
  </si>
  <si>
    <t>Rendelt mennyiség</t>
  </si>
  <si>
    <t>Teljes profit</t>
  </si>
  <si>
    <t>Átlagos Markup</t>
  </si>
  <si>
    <t>Átlagos Profit</t>
  </si>
  <si>
    <t>Átlagos bevétel</t>
  </si>
  <si>
    <t>Vásárló ID</t>
  </si>
  <si>
    <t>Név</t>
  </si>
  <si>
    <t>Email</t>
  </si>
  <si>
    <t>Telefonszám</t>
  </si>
  <si>
    <t>Ország</t>
  </si>
  <si>
    <t>Város</t>
  </si>
  <si>
    <t>Regisztráció Dátuma</t>
  </si>
  <si>
    <t>Összes Rendelés száma</t>
  </si>
  <si>
    <t>Ügyfél típusa</t>
  </si>
  <si>
    <t>Összes költés</t>
  </si>
  <si>
    <t>ID001</t>
  </si>
  <si>
    <t>eszter.molnar@gmail.com</t>
  </si>
  <si>
    <t>+36 30 477 7681</t>
  </si>
  <si>
    <t>Magyarország</t>
  </si>
  <si>
    <t>Szeged</t>
  </si>
  <si>
    <t>ID002</t>
  </si>
  <si>
    <t>istvan.kiss@gmail.com</t>
  </si>
  <si>
    <t>+421 981 294 426</t>
  </si>
  <si>
    <t>Szlovákia</t>
  </si>
  <si>
    <t>ID003</t>
  </si>
  <si>
    <t>peter.nemeth@gmail.com</t>
  </si>
  <si>
    <t>+36 70 864 7997</t>
  </si>
  <si>
    <t>Miskolc</t>
  </si>
  <si>
    <t>ID004</t>
  </si>
  <si>
    <t>laszlo.kiss@freemail.hu</t>
  </si>
  <si>
    <t>+40 783 356 689</t>
  </si>
  <si>
    <t>Románia</t>
  </si>
  <si>
    <t>Bukarest</t>
  </si>
  <si>
    <t>ID005</t>
  </si>
  <si>
    <t>orsolya.molnar@gmail.com</t>
  </si>
  <si>
    <t>+36 70 443 3420</t>
  </si>
  <si>
    <t>Debrecen</t>
  </si>
  <si>
    <t>ID006</t>
  </si>
  <si>
    <t>adam.szabo@gmail.com</t>
  </si>
  <si>
    <t>+36 70 243 6444</t>
  </si>
  <si>
    <t>Pécs</t>
  </si>
  <si>
    <t>ID007</t>
  </si>
  <si>
    <t>tamas.nemeth@gmail.com</t>
  </si>
  <si>
    <t>+36 30 996 7771</t>
  </si>
  <si>
    <t>ID008</t>
  </si>
  <si>
    <t>bence.nagy@gmail.com</t>
  </si>
  <si>
    <t>+36 70 166 1341</t>
  </si>
  <si>
    <t>ID009</t>
  </si>
  <si>
    <t>gyorgy.nagy@yahoo.com</t>
  </si>
  <si>
    <t>+36 70 798 8265</t>
  </si>
  <si>
    <t>ID010</t>
  </si>
  <si>
    <t>csilla.nagy@gmail.com</t>
  </si>
  <si>
    <t>+36 20 880 5538</t>
  </si>
  <si>
    <t>ID011</t>
  </si>
  <si>
    <t>szabolcs.toth@gmail.com</t>
  </si>
  <si>
    <t>+421 962 692 274</t>
  </si>
  <si>
    <t>ID012</t>
  </si>
  <si>
    <t>zoltan.farkas@outlook.com</t>
  </si>
  <si>
    <t>+36 70 770 8111</t>
  </si>
  <si>
    <t>Budapest</t>
  </si>
  <si>
    <t>ID013</t>
  </si>
  <si>
    <t>hanna.toth@gmail.com</t>
  </si>
  <si>
    <t>+36 20 135 2179</t>
  </si>
  <si>
    <t>ID014</t>
  </si>
  <si>
    <t>nora.toth@gmail.com</t>
  </si>
  <si>
    <t>+36 70 625 5027</t>
  </si>
  <si>
    <t>ID015</t>
  </si>
  <si>
    <t>marton.farkas@gmail.com</t>
  </si>
  <si>
    <t>+36 70 734 1489</t>
  </si>
  <si>
    <t>ID016</t>
  </si>
  <si>
    <t>julia.toth@gmail.com</t>
  </si>
  <si>
    <t>+380 50 732 4819</t>
  </si>
  <si>
    <t>Ukrajna</t>
  </si>
  <si>
    <t>Ungvár</t>
  </si>
  <si>
    <t>ID017</t>
  </si>
  <si>
    <t>eszter.szabo@gmail.com</t>
  </si>
  <si>
    <t>+36 20 661 7194</t>
  </si>
  <si>
    <t>ID018</t>
  </si>
  <si>
    <t>daniel.kiss@gmail.com</t>
  </si>
  <si>
    <t>+36 20 619 8767</t>
  </si>
  <si>
    <t>ID019</t>
  </si>
  <si>
    <t>julia.horvath@gmail.com</t>
  </si>
  <si>
    <t>+36 20 978 3446</t>
  </si>
  <si>
    <t>ID020</t>
  </si>
  <si>
    <t>hanna.molnar@gmail.com</t>
  </si>
  <si>
    <t>+36 20 910 3535</t>
  </si>
  <si>
    <t>Győr</t>
  </si>
  <si>
    <t>ID021</t>
  </si>
  <si>
    <t>marton.varga@gmail.com</t>
  </si>
  <si>
    <t>+36 20 789 8068</t>
  </si>
  <si>
    <t>ID022</t>
  </si>
  <si>
    <t>hanna.szabo@gmail.com</t>
  </si>
  <si>
    <t>+421 936 593 925</t>
  </si>
  <si>
    <t>ID023</t>
  </si>
  <si>
    <t>istvan.nemeth@gmail.com</t>
  </si>
  <si>
    <t>+36 20 783 1366</t>
  </si>
  <si>
    <t>ID024</t>
  </si>
  <si>
    <t>zoltan.nagy@gmail.com</t>
  </si>
  <si>
    <t>+36 30 626 4877</t>
  </si>
  <si>
    <t>ID025</t>
  </si>
  <si>
    <t>szabolcs.nemeth@gmail.com</t>
  </si>
  <si>
    <t>+36 30 782 9691</t>
  </si>
  <si>
    <t>ID026</t>
  </si>
  <si>
    <t>eszter.toth@gmail.com</t>
  </si>
  <si>
    <t>+40 733 884 491</t>
  </si>
  <si>
    <t>ID027</t>
  </si>
  <si>
    <t>eva.szabo@citromail.hu</t>
  </si>
  <si>
    <t>+36 30 150 7264</t>
  </si>
  <si>
    <t>ID028</t>
  </si>
  <si>
    <t>viktoria.varga@gmail.com</t>
  </si>
  <si>
    <t>+36 30 785 8843</t>
  </si>
  <si>
    <t>ID029</t>
  </si>
  <si>
    <t>katalin.kovacs@gmail.com</t>
  </si>
  <si>
    <t>+381 69 123 4890</t>
  </si>
  <si>
    <t>Szerbia</t>
  </si>
  <si>
    <t>Beograd</t>
  </si>
  <si>
    <t>ID030</t>
  </si>
  <si>
    <t>zoltan.szabo@gmail.com</t>
  </si>
  <si>
    <t>+36 70 795 7201</t>
  </si>
  <si>
    <t>ID031</t>
  </si>
  <si>
    <t>gyorgy.molnar@gmail.com</t>
  </si>
  <si>
    <t>+36 20 515 9171</t>
  </si>
  <si>
    <t>ID032</t>
  </si>
  <si>
    <t>tamas.horvath@gmail.com</t>
  </si>
  <si>
    <t>+36 70 724 9430</t>
  </si>
  <si>
    <t>ID033</t>
  </si>
  <si>
    <t>adam.nagy@gmail.com</t>
  </si>
  <si>
    <t>+36 70 246 8153</t>
  </si>
  <si>
    <t>ID034</t>
  </si>
  <si>
    <t>tamas.nagy@gmail.com</t>
  </si>
  <si>
    <t>+36 20 742 4636</t>
  </si>
  <si>
    <t>ID035</t>
  </si>
  <si>
    <t>eszter.nemeth@gmail.com</t>
  </si>
  <si>
    <t>+43 651 190 5567</t>
  </si>
  <si>
    <t>Ausztria</t>
  </si>
  <si>
    <t>Linz</t>
  </si>
  <si>
    <t>ID036</t>
  </si>
  <si>
    <t>tamas.farkas@gmail.com</t>
  </si>
  <si>
    <t>+36 30 348 6391</t>
  </si>
  <si>
    <t>ID037</t>
  </si>
  <si>
    <t>peter.horvath@gmail.com</t>
  </si>
  <si>
    <t>+36 70 171 1687</t>
  </si>
  <si>
    <t>ID038</t>
  </si>
  <si>
    <t>tamas.kiss@gmail.com</t>
  </si>
  <si>
    <t>+36 30 865 7033</t>
  </si>
  <si>
    <t>ID039</t>
  </si>
  <si>
    <t>adam.toth@gmail.com</t>
  </si>
  <si>
    <t>+386 70 123 890</t>
  </si>
  <si>
    <t>Szlovénia</t>
  </si>
  <si>
    <t>Koper</t>
  </si>
  <si>
    <t>ID040</t>
  </si>
  <si>
    <t>daniel.toth@gmail.com</t>
  </si>
  <si>
    <t>+36 30 908 5957</t>
  </si>
  <si>
    <t>ID041</t>
  </si>
  <si>
    <t>ferenc.kiss@gmail.com</t>
  </si>
  <si>
    <t>+36 30 663 7840</t>
  </si>
  <si>
    <t>ID042</t>
  </si>
  <si>
    <t>zsofia.szabo@gmail.com</t>
  </si>
  <si>
    <t>+36 30 913 7007</t>
  </si>
  <si>
    <t>ID043</t>
  </si>
  <si>
    <t>laszlo.horvath@freemail.hu</t>
  </si>
  <si>
    <t>+36 30 393 9404</t>
  </si>
  <si>
    <t>ID044</t>
  </si>
  <si>
    <t>szabolcs.horvath@gmail.com</t>
  </si>
  <si>
    <t>+40 704 293 351</t>
  </si>
  <si>
    <t>ID045</t>
  </si>
  <si>
    <t>orsolya.nagy@gmail.com</t>
  </si>
  <si>
    <t>+36 30 556 1892</t>
  </si>
  <si>
    <t>ID046</t>
  </si>
  <si>
    <t>laszlo.farkas@gmail.com</t>
  </si>
  <si>
    <t xml:space="preserve">+385 91 234 5678 </t>
  </si>
  <si>
    <t>Horvátország</t>
  </si>
  <si>
    <t>Zagreb</t>
  </si>
  <si>
    <t>ID047</t>
  </si>
  <si>
    <t>ferenc.varga@gmail.com</t>
  </si>
  <si>
    <t>+36 70 372 8271</t>
  </si>
  <si>
    <t>ID048</t>
  </si>
  <si>
    <t>eva.kiss@yahoo.com</t>
  </si>
  <si>
    <t>+36 30 261 4747</t>
  </si>
  <si>
    <t>ID049</t>
  </si>
  <si>
    <t>gabor.szabo@gmail.com</t>
  </si>
  <si>
    <t>+36 20 608 6275</t>
  </si>
  <si>
    <t>ID050</t>
  </si>
  <si>
    <t>bence.szabo@gmail.com</t>
  </si>
  <si>
    <t>+36 70 967 1336</t>
  </si>
  <si>
    <t>ID051</t>
  </si>
  <si>
    <t>hanna.horvath@gmail.com</t>
  </si>
  <si>
    <t>+380 68 223 9051</t>
  </si>
  <si>
    <t>Lviv</t>
  </si>
  <si>
    <t>ID052</t>
  </si>
  <si>
    <t>robert.kiss@gmail.com</t>
  </si>
  <si>
    <t>+36 70 556 7183</t>
  </si>
  <si>
    <t>ID053</t>
  </si>
  <si>
    <t>daniel.nagy@gmail.com</t>
  </si>
  <si>
    <t>+36 70 233 9575</t>
  </si>
  <si>
    <t>ID054</t>
  </si>
  <si>
    <t>orsolya.kovacs@gmail.com</t>
  </si>
  <si>
    <t>+36 20 884 9450</t>
  </si>
  <si>
    <t>ID055</t>
  </si>
  <si>
    <t>eszter.horvath@gmail.com</t>
  </si>
  <si>
    <t>+36 70 662 8483</t>
  </si>
  <si>
    <t>ID056</t>
  </si>
  <si>
    <t>agnes.molnar@gmail.com</t>
  </si>
  <si>
    <t>+36 30 848 3528</t>
  </si>
  <si>
    <t>ID057</t>
  </si>
  <si>
    <t>robert.molnar@gmail.com</t>
  </si>
  <si>
    <t>+385 99 333 4445</t>
  </si>
  <si>
    <t>Rijeka</t>
  </si>
  <si>
    <t>ID058</t>
  </si>
  <si>
    <t>viktoria.molnar@gmail.com</t>
  </si>
  <si>
    <t>+381 64 123 4567</t>
  </si>
  <si>
    <t>Subotica</t>
  </si>
  <si>
    <t>ID059</t>
  </si>
  <si>
    <t>orsolya.horvath@gmail.com</t>
  </si>
  <si>
    <t>+36 20 789 6547</t>
  </si>
  <si>
    <t>ID060</t>
  </si>
  <si>
    <t>robert.varga@gmail.com</t>
  </si>
  <si>
    <t>+36 20 948 9530</t>
  </si>
  <si>
    <t>ID061</t>
  </si>
  <si>
    <t>ferenc.toth@gmail.com</t>
  </si>
  <si>
    <t>+36 30 909 2861</t>
  </si>
  <si>
    <t>ID062</t>
  </si>
  <si>
    <t>adam.kovacs@gmail.com</t>
  </si>
  <si>
    <t>+36 70 117 6338</t>
  </si>
  <si>
    <t>ID063</t>
  </si>
  <si>
    <t>hanna.nagy@gmail.com</t>
  </si>
  <si>
    <t>+36 30 244 8078</t>
  </si>
  <si>
    <t>ID064</t>
  </si>
  <si>
    <t>laszlo.kovacs@gmail.com</t>
  </si>
  <si>
    <t>+36 70 564 5133</t>
  </si>
  <si>
    <t>ID065</t>
  </si>
  <si>
    <t>nora.molnar@gmail.com</t>
  </si>
  <si>
    <t>'+380 73 556 1184</t>
  </si>
  <si>
    <t>Kijev</t>
  </si>
  <si>
    <t>ID066</t>
  </si>
  <si>
    <t>istvan.szabo@gmail.com</t>
  </si>
  <si>
    <t>+36 20 625 3361</t>
  </si>
  <si>
    <t>ID067</t>
  </si>
  <si>
    <t>gyorgy.nemeth@gmail.com</t>
  </si>
  <si>
    <t>+36 20 409 3312</t>
  </si>
  <si>
    <t>ID068</t>
  </si>
  <si>
    <t>gabor.kiss@gmail.com</t>
  </si>
  <si>
    <t>+36 30 121 7666</t>
  </si>
  <si>
    <t>ID069</t>
  </si>
  <si>
    <t>szabolcs.varga@gmail.com</t>
  </si>
  <si>
    <t>+36 20 172 9303</t>
  </si>
  <si>
    <t>ID070</t>
  </si>
  <si>
    <t>ferenc.nemeth@gmail.com</t>
  </si>
  <si>
    <t>+36 30 312 7544</t>
  </si>
  <si>
    <t>ID071</t>
  </si>
  <si>
    <t>agnes.nemeth@gmail.com</t>
  </si>
  <si>
    <t>+36 70 340 9021</t>
  </si>
  <si>
    <t>ID072</t>
  </si>
  <si>
    <t>marton.horvath@gmail.com</t>
  </si>
  <si>
    <t>+36 20 890 1468</t>
  </si>
  <si>
    <t>ID073</t>
  </si>
  <si>
    <t>zsofia.toth@gmail.com</t>
  </si>
  <si>
    <t>+36 70 577 1088</t>
  </si>
  <si>
    <t>ID074</t>
  </si>
  <si>
    <t>adam.farkas@gmail.com</t>
  </si>
  <si>
    <t>+36 20 880 3801</t>
  </si>
  <si>
    <t>ID075</t>
  </si>
  <si>
    <t>csilla.kiss@gmail.com</t>
  </si>
  <si>
    <t>+36 20 352 9636</t>
  </si>
  <si>
    <t>ID076</t>
  </si>
  <si>
    <t>peter.farkas@gmail.com</t>
  </si>
  <si>
    <t>+43 662 994 2127</t>
  </si>
  <si>
    <t>Graz</t>
  </si>
  <si>
    <t>ID077</t>
  </si>
  <si>
    <t>eszter.farkas@gmail.com</t>
  </si>
  <si>
    <t>+36 30 241 9129</t>
  </si>
  <si>
    <t>ID078</t>
  </si>
  <si>
    <t>szabolcs.szabo@gmail.com</t>
  </si>
  <si>
    <t>+36 70 691 7172</t>
  </si>
  <si>
    <t>ID079</t>
  </si>
  <si>
    <t>csilla.horvath@gmail.com</t>
  </si>
  <si>
    <t>+36 30 193 5473</t>
  </si>
  <si>
    <t>ID080</t>
  </si>
  <si>
    <t>laszlo.szabo@outlook.com</t>
  </si>
  <si>
    <t>+36 30 382 4730</t>
  </si>
  <si>
    <t>ID081</t>
  </si>
  <si>
    <t>hanna.kiss@gmail.com</t>
  </si>
  <si>
    <t>+36 20 669 1055</t>
  </si>
  <si>
    <t>ID082</t>
  </si>
  <si>
    <t>katalin.toth@gmail.com</t>
  </si>
  <si>
    <t>+36 30 970 3859</t>
  </si>
  <si>
    <t>ID083</t>
  </si>
  <si>
    <t>tamas.molnar@gmail.com</t>
  </si>
  <si>
    <t>+36 30 965 1985</t>
  </si>
  <si>
    <t>ID084</t>
  </si>
  <si>
    <t>zoltan.horvath@gmail.com</t>
  </si>
  <si>
    <t>+36 70 725 6207</t>
  </si>
  <si>
    <t>ID085</t>
  </si>
  <si>
    <t>szabolcs.nagy@gmail.com</t>
  </si>
  <si>
    <t>+36 30 106 6548</t>
  </si>
  <si>
    <t>ID086</t>
  </si>
  <si>
    <t>nora.kovacs@gmail.com</t>
  </si>
  <si>
    <t>+36 30 970 5722</t>
  </si>
  <si>
    <t>ID087</t>
  </si>
  <si>
    <t>katalin.szabo@gmail.com</t>
  </si>
  <si>
    <t>+386 41 234 567</t>
  </si>
  <si>
    <t>Celje</t>
  </si>
  <si>
    <t>ID088</t>
  </si>
  <si>
    <t>eszter.kiss@gmail.com</t>
  </si>
  <si>
    <t>+36 70 794 4573</t>
  </si>
  <si>
    <t>ID089</t>
  </si>
  <si>
    <t>eva.molnar@gmail.com</t>
  </si>
  <si>
    <t xml:space="preserve">+385 91 241 1638 </t>
  </si>
  <si>
    <t>ID090</t>
  </si>
  <si>
    <t>nora.farkas@gmail.com</t>
  </si>
  <si>
    <t>+36 70 978 5069</t>
  </si>
  <si>
    <t>ID091</t>
  </si>
  <si>
    <t>agnes.horvath@gmail.com</t>
  </si>
  <si>
    <t>+381 69 143 7324</t>
  </si>
  <si>
    <t>ID092</t>
  </si>
  <si>
    <t>gabor.nemeth@gmail.com</t>
  </si>
  <si>
    <t>+36 30 110 3955</t>
  </si>
  <si>
    <t>ID093</t>
  </si>
  <si>
    <t>zsofia.kovacs@gmail.com</t>
  </si>
  <si>
    <t>+36 30 806 4530</t>
  </si>
  <si>
    <t>ID094</t>
  </si>
  <si>
    <t>szabolcs.molnar@gmail.com</t>
  </si>
  <si>
    <t>+36 70 858 8359</t>
  </si>
  <si>
    <t>ID095</t>
  </si>
  <si>
    <t>eva.nemeth@gmail.com</t>
  </si>
  <si>
    <t>+36 20 839 4922</t>
  </si>
  <si>
    <t>ID096</t>
  </si>
  <si>
    <t>daniel.kovacs@gmail.com</t>
  </si>
  <si>
    <t xml:space="preserve">+385 91 214 1124 </t>
  </si>
  <si>
    <t>Zadar</t>
  </si>
  <si>
    <t>ID097</t>
  </si>
  <si>
    <t>agnes.kovacs@gmail.com</t>
  </si>
  <si>
    <t>+36 30 741 9450</t>
  </si>
  <si>
    <t>ID098</t>
  </si>
  <si>
    <t>adam.molnar@gmail.com</t>
  </si>
  <si>
    <t>+36 70 347 3796</t>
  </si>
  <si>
    <t>ID099</t>
  </si>
  <si>
    <t>viktoria.nemeth@gmail.com</t>
  </si>
  <si>
    <t>+381 69 313 4894</t>
  </si>
  <si>
    <t>ID100</t>
  </si>
  <si>
    <t>ferenc.szabo@gmail.com</t>
  </si>
  <si>
    <t>+36 20 461 6922</t>
  </si>
  <si>
    <t>ID101</t>
  </si>
  <si>
    <t>bence.kovacs@gmail.com</t>
  </si>
  <si>
    <t>+386 41 221 45</t>
  </si>
  <si>
    <t>ID102</t>
  </si>
  <si>
    <t>viktoria.toth@gmail.com</t>
  </si>
  <si>
    <t>+36 20 794 4197</t>
  </si>
  <si>
    <t>ID103</t>
  </si>
  <si>
    <t>gabor.varga@gmail.com</t>
  </si>
  <si>
    <t>+40 705 364 675</t>
  </si>
  <si>
    <t>ID104</t>
  </si>
  <si>
    <t>robert.farkas@gmail.com</t>
  </si>
  <si>
    <t>+36 30 397 5307</t>
  </si>
  <si>
    <t>ID105</t>
  </si>
  <si>
    <t>robert.szabo@gmail.com</t>
  </si>
  <si>
    <t>+36 70 988 8276</t>
  </si>
  <si>
    <t>ID106</t>
  </si>
  <si>
    <t>nora.kiss@gmail.com</t>
  </si>
  <si>
    <t>+36 70 575 9169</t>
  </si>
  <si>
    <t>ID107</t>
  </si>
  <si>
    <t>zoltan.nemeth@gmail.com</t>
  </si>
  <si>
    <t>+36 70 754 2638</t>
  </si>
  <si>
    <t>ID108</t>
  </si>
  <si>
    <t>istvan.nagy@gmail.com</t>
  </si>
  <si>
    <t>+36 30 817 6541</t>
  </si>
  <si>
    <t>ID109</t>
  </si>
  <si>
    <t>marton.kovacs@gmail.com</t>
  </si>
  <si>
    <t>+36 70 411 2491</t>
  </si>
  <si>
    <t>ID110</t>
  </si>
  <si>
    <t>bence.farkas@gmail.com</t>
  </si>
  <si>
    <t>+36 70 651 5620</t>
  </si>
  <si>
    <t>ID111</t>
  </si>
  <si>
    <t>nora.varga@gmail.com</t>
  </si>
  <si>
    <t>+36 30 427 2093</t>
  </si>
  <si>
    <t>ID112</t>
  </si>
  <si>
    <t>daniel.farkas@gmail.com</t>
  </si>
  <si>
    <t>+36 20 749 7315</t>
  </si>
  <si>
    <t>ID113</t>
  </si>
  <si>
    <t>zsofia.molnar@gmail.com</t>
  </si>
  <si>
    <t>+36 20 586 4041</t>
  </si>
  <si>
    <t>ID114</t>
  </si>
  <si>
    <t>gyorgy.farkas@yahoo.com</t>
  </si>
  <si>
    <t>+36 70 482 7023</t>
  </si>
  <si>
    <t>ID115</t>
  </si>
  <si>
    <t>csilla.nemeth@gmail.com</t>
  </si>
  <si>
    <t>+36 20 407 2162</t>
  </si>
  <si>
    <t>ID116</t>
  </si>
  <si>
    <t>eszter.varga@gmail.com</t>
  </si>
  <si>
    <t>+36 70 702 5041</t>
  </si>
  <si>
    <t>ID117</t>
  </si>
  <si>
    <t>viktoria.farkas@gmail.com</t>
  </si>
  <si>
    <t>+36 70 525 6149</t>
  </si>
  <si>
    <t>ID118</t>
  </si>
  <si>
    <t>orsolya.kiss@gmail.com</t>
  </si>
  <si>
    <t>+386 31 324 961</t>
  </si>
  <si>
    <t>Ljubljana</t>
  </si>
  <si>
    <t>ID119</t>
  </si>
  <si>
    <t>gabor.toth@gmail.com</t>
  </si>
  <si>
    <t>+36 30 430 1444</t>
  </si>
  <si>
    <t>ID120</t>
  </si>
  <si>
    <t>nora.nagy@gmail.com</t>
  </si>
  <si>
    <t>+36 30 267 6173</t>
  </si>
  <si>
    <t>ID121</t>
  </si>
  <si>
    <t>robert.nagy@gmail.com</t>
  </si>
  <si>
    <t>+36 20 382 8100</t>
  </si>
  <si>
    <t>ID122</t>
  </si>
  <si>
    <t>julia.nemeth@gmail.com</t>
  </si>
  <si>
    <t>+36 20 569 4437</t>
  </si>
  <si>
    <t>ID123</t>
  </si>
  <si>
    <t>nora.horvath@gmail.com</t>
  </si>
  <si>
    <t>+36 70 966 1403</t>
  </si>
  <si>
    <t>ID124</t>
  </si>
  <si>
    <t>ferenc.farkas@gmail.com</t>
  </si>
  <si>
    <t>+36 20 267 7822</t>
  </si>
  <si>
    <t>ID125</t>
  </si>
  <si>
    <t>eva.kovacs@gmail.com</t>
  </si>
  <si>
    <t>+43 630 929 8123</t>
  </si>
  <si>
    <t>ID126</t>
  </si>
  <si>
    <t>csilla.kovacs@gmail.com</t>
  </si>
  <si>
    <t>+36 30 591 7226</t>
  </si>
  <si>
    <t>ID127</t>
  </si>
  <si>
    <t>zoltan.varga@gmail.com</t>
  </si>
  <si>
    <t>+36 70 525 9736</t>
  </si>
  <si>
    <t>ID128</t>
  </si>
  <si>
    <t>orsolya.varga@gmail.com</t>
  </si>
  <si>
    <t>+36 20 844 4551</t>
  </si>
  <si>
    <t>ID129</t>
  </si>
  <si>
    <t>katalin.nagy@gmail.com</t>
  </si>
  <si>
    <t>+36 20 852 6047</t>
  </si>
  <si>
    <t>ID130</t>
  </si>
  <si>
    <t>zsofia.farkas@gmail.com</t>
  </si>
  <si>
    <t>+36 70 756 9841</t>
  </si>
  <si>
    <t>ID131</t>
  </si>
  <si>
    <t>hanna.kovacs@gmail.com</t>
  </si>
  <si>
    <t>+36 70 741 2786</t>
  </si>
  <si>
    <t>ID132</t>
  </si>
  <si>
    <t>tamas.toth@gmail.com</t>
  </si>
  <si>
    <t>+386 31 784 167</t>
  </si>
  <si>
    <t>ID133</t>
  </si>
  <si>
    <t>agnes.nagy@gmail.com</t>
  </si>
  <si>
    <t>+36 20 810 7413</t>
  </si>
  <si>
    <t>ID134</t>
  </si>
  <si>
    <t>bence.kiss@gmail.com</t>
  </si>
  <si>
    <t>+36 70 562 5877</t>
  </si>
  <si>
    <t>ID135</t>
  </si>
  <si>
    <t>gyorgy.horvath@gmail.com</t>
  </si>
  <si>
    <t>+36 30 836 5792</t>
  </si>
  <si>
    <t>ID136</t>
  </si>
  <si>
    <t>orsolya.toth@gmail.com</t>
  </si>
  <si>
    <t>+40 726 712 540</t>
  </si>
  <si>
    <t>Temesvár</t>
  </si>
  <si>
    <t>ID137</t>
  </si>
  <si>
    <t>zoltan.kovacs@gmail.com</t>
  </si>
  <si>
    <t>+36 20 292 5900</t>
  </si>
  <si>
    <t>ID138</t>
  </si>
  <si>
    <t>csilla.varga@gmail.com</t>
  </si>
  <si>
    <t xml:space="preserve">+385 91 124 4778 </t>
  </si>
  <si>
    <t>ID139</t>
  </si>
  <si>
    <t>istvan.toth@gmail.com</t>
  </si>
  <si>
    <t>+36 30 996 7173</t>
  </si>
  <si>
    <t>ID140</t>
  </si>
  <si>
    <t>istvan.kovacs@gmail.com</t>
  </si>
  <si>
    <t>+36 70 432 3613</t>
  </si>
  <si>
    <t>ID141</t>
  </si>
  <si>
    <t>katalin.nemeth@gmail.com</t>
  </si>
  <si>
    <t>+36 70 507 9180</t>
  </si>
  <si>
    <t>ID142</t>
  </si>
  <si>
    <t>daniel.horvath@gmail.com</t>
  </si>
  <si>
    <t>+36 20 535 2088</t>
  </si>
  <si>
    <t>Rendelés</t>
  </si>
  <si>
    <t>Rendelés száma</t>
  </si>
  <si>
    <t xml:space="preserve"> Rendelt mennyiség </t>
  </si>
  <si>
    <t xml:space="preserve">Összes költés </t>
  </si>
  <si>
    <t>Acer</t>
  </si>
  <si>
    <t>BenQ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</si>
</sst>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0\ &quot;Ft&quot;;[Red]\-#,##0\ &quot;Ft&quot;"/>
    <numFmt numFmtId="44" formatCode="_-* #,##0.00\ &quot;Ft&quot;_-;\-* #,##0.00\ &quot;Ft&quot;_-;_-* &quot;-&quot;??\ &quot;Ft&quot;_-;_-@_-"/>
    <numFmt numFmtId="164" formatCode="0&quot; db&quot;"/>
    <numFmt numFmtId="165" formatCode="_-* #,##0\ [$Ft-40E]_-;\-* #,##0\ [$Ft-40E]_-;_-* &quot;-&quot;\ [$Ft-40E]_-;_-@_-"/>
    <numFmt numFmtId="166" formatCode="_-* #,##0\ &quot;Ft&quot;_-;\-* #,##0\ &quot;Ft&quot;_-;_-* &quot;-&quot;??\ &quot;Ft&quot;_-;_-@_-"/>
    <numFmt numFmtId="167" formatCode="0&quot;x&quot;"/>
  </numFmts>
  <fonts count="7">
    <font>
      <sz val="11"/>
      <color theme="1"/>
      <name val="Calibri"/>
      <family val="2"/>
      <scheme val="minor"/>
    </font>
    <font>
      <sz val="8"/>
      <name val="Calibri"/>
      <family val="2"/>
      <scheme val="minor"/>
    </font>
    <font>
      <sz val="11"/>
      <color theme="1"/>
      <name val="Calibri"/>
      <family val="2"/>
      <scheme val="minor"/>
    </font>
    <font>
      <sz val="10"/>
      <color rgb="FF0F1115"/>
      <name val="Segoe UI"/>
      <family val="2"/>
      <charset val="238"/>
    </font>
    <font>
      <sz val="10"/>
      <color theme="1"/>
      <name val="Arial Unicode MS"/>
    </font>
    <font>
      <sz val="14"/>
      <color theme="1"/>
      <name val="Calibri"/>
      <family val="2"/>
      <scheme val="minor"/>
    </font>
    <font>
      <sz val="16"/>
      <color theme="1"/>
      <name val="Calibri"/>
      <family val="2"/>
      <charset val="238"/>
      <scheme val="minor"/>
    </font>
  </fonts>
  <fills count="4">
    <fill>
      <patternFill patternType="none"/>
    </fill>
    <fill>
      <patternFill patternType="gray125"/>
    </fill>
    <fill>
      <patternFill patternType="solid">
        <fgColor theme="3" tint="0.79998168889431442"/>
        <bgColor indexed="64"/>
      </patternFill>
    </fill>
    <fill>
      <patternFill patternType="solid">
        <fgColor theme="7" tint="0.59999389629810485"/>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47">
    <xf numFmtId="0" fontId="0" fillId="0" borderId="0" xfId="0"/>
    <xf numFmtId="164" fontId="0" fillId="0" borderId="0" xfId="0" applyNumberFormat="1"/>
    <xf numFmtId="14" fontId="0" fillId="0" borderId="0" xfId="0" applyNumberFormat="1"/>
    <xf numFmtId="165" fontId="0" fillId="0" borderId="0" xfId="0" applyNumberFormat="1"/>
    <xf numFmtId="44" fontId="0" fillId="0" borderId="0" xfId="2" applyFont="1"/>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67" fontId="0" fillId="0" borderId="0" xfId="0" applyNumberFormat="1"/>
    <xf numFmtId="166" fontId="0" fillId="0" borderId="0" xfId="2" applyNumberFormat="1" applyFont="1"/>
    <xf numFmtId="0" fontId="0" fillId="0" borderId="0" xfId="0" applyAlignment="1">
      <alignment horizontal="left" indent="2"/>
    </xf>
    <xf numFmtId="14" fontId="0" fillId="0" borderId="0" xfId="0" applyNumberFormat="1" applyAlignment="1">
      <alignment horizontal="left"/>
    </xf>
    <xf numFmtId="0" fontId="5" fillId="0" borderId="2" xfId="0" applyFont="1" applyBorder="1"/>
    <xf numFmtId="165" fontId="5" fillId="0" borderId="2" xfId="0" applyNumberFormat="1" applyFont="1" applyBorder="1"/>
    <xf numFmtId="164" fontId="5" fillId="0" borderId="2" xfId="0" applyNumberFormat="1" applyFont="1" applyBorder="1"/>
    <xf numFmtId="10" fontId="5" fillId="0" borderId="2" xfId="0" applyNumberFormat="1" applyFont="1" applyBorder="1"/>
    <xf numFmtId="0" fontId="0" fillId="2" borderId="2" xfId="0" applyFill="1" applyBorder="1"/>
    <xf numFmtId="165" fontId="0" fillId="2" borderId="2" xfId="0" applyNumberFormat="1" applyFill="1" applyBorder="1"/>
    <xf numFmtId="6" fontId="0" fillId="2" borderId="2" xfId="0" applyNumberFormat="1" applyFill="1" applyBorder="1"/>
    <xf numFmtId="0" fontId="0" fillId="0" borderId="7" xfId="0" applyBorder="1"/>
    <xf numFmtId="0" fontId="0" fillId="0" borderId="3" xfId="0" applyBorder="1"/>
    <xf numFmtId="0" fontId="0" fillId="0" borderId="4" xfId="0" applyBorder="1"/>
    <xf numFmtId="14" fontId="0" fillId="0" borderId="8" xfId="0" applyNumberFormat="1" applyBorder="1"/>
    <xf numFmtId="10" fontId="0" fillId="0" borderId="0" xfId="1" applyNumberFormat="1" applyFont="1" applyBorder="1"/>
    <xf numFmtId="0" fontId="0" fillId="0" borderId="5" xfId="0" applyBorder="1"/>
    <xf numFmtId="14" fontId="0" fillId="0" borderId="9" xfId="0" applyNumberFormat="1" applyBorder="1"/>
    <xf numFmtId="0" fontId="0" fillId="0" borderId="1" xfId="0" applyBorder="1"/>
    <xf numFmtId="164" fontId="0" fillId="0" borderId="1" xfId="0" applyNumberFormat="1" applyBorder="1"/>
    <xf numFmtId="165" fontId="0" fillId="0" borderId="1" xfId="0" applyNumberFormat="1" applyBorder="1"/>
    <xf numFmtId="10" fontId="0" fillId="0" borderId="1" xfId="1" applyNumberFormat="1" applyFont="1" applyBorder="1"/>
    <xf numFmtId="0" fontId="0" fillId="0" borderId="6" xfId="0" applyBorder="1"/>
    <xf numFmtId="0" fontId="3" fillId="0" borderId="8" xfId="0" applyFont="1" applyBorder="1"/>
    <xf numFmtId="0" fontId="0" fillId="0" borderId="0" xfId="0" quotePrefix="1"/>
    <xf numFmtId="0" fontId="4" fillId="0" borderId="0" xfId="0" applyFont="1" applyAlignment="1">
      <alignment vertical="center"/>
    </xf>
    <xf numFmtId="0" fontId="3" fillId="0" borderId="9" xfId="0" applyFont="1" applyBorder="1"/>
    <xf numFmtId="14" fontId="0" fillId="0" borderId="1" xfId="0" applyNumberFormat="1" applyBorder="1"/>
    <xf numFmtId="0" fontId="6" fillId="3" borderId="0" xfId="0" applyFont="1" applyFill="1" applyAlignment="1">
      <alignment horizontal="center"/>
    </xf>
    <xf numFmtId="0" fontId="0" fillId="3" borderId="0" xfId="0" applyFill="1" applyAlignment="1">
      <alignment horizontal="center"/>
    </xf>
    <xf numFmtId="0" fontId="0" fillId="0" borderId="0" xfId="0" applyFont="1"/>
    <xf numFmtId="0" fontId="0" fillId="0" borderId="0" xfId="0" applyNumberFormat="1"/>
    <xf numFmtId="0" fontId="0" fillId="0" borderId="0" xfId="0" pivotButton="1" applyFont="1"/>
    <xf numFmtId="0" fontId="0" fillId="0" borderId="0" xfId="0" applyFont="1" applyAlignment="1">
      <alignment horizontal="left"/>
    </xf>
    <xf numFmtId="165" fontId="0" fillId="0" borderId="0" xfId="0" applyNumberFormat="1" applyFont="1"/>
    <xf numFmtId="10" fontId="0" fillId="0" borderId="0" xfId="0" applyNumberFormat="1" applyFont="1"/>
    <xf numFmtId="164" fontId="0" fillId="0" borderId="0" xfId="0" applyNumberFormat="1" applyFont="1"/>
    <xf numFmtId="0" fontId="0" fillId="0" borderId="0" xfId="0" applyFont="1" applyAlignment="1">
      <alignment horizontal="left" indent="1"/>
    </xf>
  </cellXfs>
  <cellStyles count="3">
    <cellStyle name="Currency" xfId="2" builtinId="4"/>
    <cellStyle name="Normal" xfId="0" builtinId="0"/>
    <cellStyle name="Per cent" xfId="1" builtinId="5"/>
  </cellStyles>
  <dxfs count="1210">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8"/>
      </font>
    </dxf>
    <dxf>
      <font>
        <sz val="18"/>
      </font>
    </dxf>
    <dxf>
      <font>
        <sz val="18"/>
      </font>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font>
        <sz val="18"/>
      </font>
    </dxf>
    <dxf>
      <font>
        <sz val="18"/>
      </font>
    </dxf>
    <dxf>
      <font>
        <sz val="18"/>
      </font>
    </dxf>
    <dxf>
      <font>
        <sz val="14"/>
      </font>
    </dxf>
    <dxf>
      <font>
        <sz val="14"/>
      </font>
    </dxf>
    <dxf>
      <font>
        <sz val="14"/>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font>
        <sz val="18"/>
      </font>
    </dxf>
    <dxf>
      <font>
        <sz val="18"/>
      </font>
    </dxf>
    <dxf>
      <font>
        <sz val="18"/>
      </font>
    </dxf>
    <dxf>
      <font>
        <sz val="14"/>
      </font>
    </dxf>
    <dxf>
      <font>
        <sz val="14"/>
      </font>
    </dxf>
    <dxf>
      <font>
        <sz val="14"/>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font>
        <sz val="18"/>
      </font>
    </dxf>
    <dxf>
      <font>
        <sz val="18"/>
      </font>
    </dxf>
    <dxf>
      <font>
        <sz val="18"/>
      </font>
    </dxf>
    <dxf>
      <font>
        <sz val="14"/>
      </font>
    </dxf>
    <dxf>
      <font>
        <sz val="14"/>
      </font>
    </dxf>
    <dxf>
      <font>
        <sz val="14"/>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font>
        <sz val="18"/>
      </font>
    </dxf>
    <dxf>
      <font>
        <sz val="18"/>
      </font>
    </dxf>
    <dxf>
      <font>
        <sz val="18"/>
      </font>
    </dxf>
    <dxf>
      <font>
        <sz val="14"/>
      </font>
    </dxf>
    <dxf>
      <font>
        <sz val="14"/>
      </font>
    </dxf>
    <dxf>
      <font>
        <sz val="14"/>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font>
        <sz val="18"/>
      </font>
    </dxf>
    <dxf>
      <font>
        <sz val="18"/>
      </font>
    </dxf>
    <dxf>
      <font>
        <sz val="18"/>
      </font>
    </dxf>
    <dxf>
      <font>
        <sz val="14"/>
      </font>
    </dxf>
    <dxf>
      <font>
        <sz val="14"/>
      </font>
    </dxf>
    <dxf>
      <font>
        <sz val="14"/>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font>
        <sz val="18"/>
      </font>
    </dxf>
    <dxf>
      <font>
        <sz val="18"/>
      </font>
    </dxf>
    <dxf>
      <font>
        <sz val="18"/>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9" defaultPivotStyle="PivotStyleLight16">
    <tableStyle name="PivotTable Style 1" table="0" count="1" xr9:uid="{DA11A725-EB24-4FBC-B59A-7DDAF17F9657}">
      <tableStyleElement type="secondRowStripe" size="6"/>
    </tableStyle>
    <tableStyle name="Timeline Style 1" pivot="0" table="0" count="8" xr9:uid="{F4DCF0C3-481B-427A-A82F-47D3D8B7A37E}">
      <tableStyleElement type="wholeTable" dxfId="1209"/>
      <tableStyleElement type="headerRow" dxfId="1208"/>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11/relationships/timelineCache" Target="timelineCaches/timelineCache2.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11/relationships/timelineCache" Target="timelineCaches/timelineCache1.xml"/><Relationship Id="rId28" Type="http://schemas.openxmlformats.org/officeDocument/2006/relationships/calcChain" Target="calcChain.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microsoft.com/office/2007/relationships/slicerCache" Target="slicerCaches/slicerCache1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[Pénzügy Monitor (version 2).xlsx]Dashboard Forrás!PivotTable6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Bevétel</a:t>
            </a:r>
            <a:r>
              <a:rPr lang="hu-HU" baseline="0"/>
              <a:t> időben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Forrás'!$N$3</c:f>
              <c:strCache>
                <c:ptCount val="1"/>
                <c:pt idx="0">
                  <c:v>Total</c:v>
                </c:pt>
              </c:strCache>
            </c:strRef>
          </c:tx>
          <c:spPr>
            <a:ln w="28575" cap="rnd">
              <a:solidFill>
                <a:schemeClr val="accent4"/>
              </a:solidFill>
              <a:round/>
            </a:ln>
            <a:effectLst/>
          </c:spPr>
          <c:marker>
            <c:symbol val="none"/>
          </c:marker>
          <c:cat>
            <c:strRef>
              <c:f>'Dashboard Forrás'!$M$4:$M$7</c:f>
              <c:strCache>
                <c:ptCount val="3"/>
                <c:pt idx="0">
                  <c:v>2025.01.23</c:v>
                </c:pt>
                <c:pt idx="1">
                  <c:v>2025.01.24</c:v>
                </c:pt>
                <c:pt idx="2">
                  <c:v>2025.01.25</c:v>
                </c:pt>
              </c:strCache>
            </c:strRef>
          </c:cat>
          <c:val>
            <c:numRef>
              <c:f>'Dashboard Forrás'!$N$4:$N$7</c:f>
              <c:numCache>
                <c:formatCode>_-* #\ ##0\ [$Ft-40E]_-;\-* #\ ##0\ [$Ft-40E]_-;_-* "-"\ [$Ft-40E]_-;_-@_-</c:formatCode>
                <c:ptCount val="3"/>
                <c:pt idx="0">
                  <c:v>1350346</c:v>
                </c:pt>
                <c:pt idx="1">
                  <c:v>1572235</c:v>
                </c:pt>
                <c:pt idx="2">
                  <c:v>782013</c:v>
                </c:pt>
              </c:numCache>
            </c:numRef>
          </c:val>
          <c:smooth val="0"/>
          <c:extLst>
            <c:ext xmlns:c16="http://schemas.microsoft.com/office/drawing/2014/chart" uri="{C3380CC4-5D6E-409C-BE32-E72D297353CC}">
              <c16:uniqueId val="{00000000-FCB8-4026-9616-12347C337441}"/>
            </c:ext>
          </c:extLst>
        </c:ser>
        <c:dLbls>
          <c:showLegendKey val="0"/>
          <c:showVal val="0"/>
          <c:showCatName val="0"/>
          <c:showSerName val="0"/>
          <c:showPercent val="0"/>
          <c:showBubbleSize val="0"/>
        </c:dLbls>
        <c:smooth val="0"/>
        <c:axId val="1705296144"/>
        <c:axId val="1705292784"/>
      </c:lineChart>
      <c:catAx>
        <c:axId val="170529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705292784"/>
        <c:crosses val="autoZero"/>
        <c:auto val="1"/>
        <c:lblAlgn val="ctr"/>
        <c:lblOffset val="100"/>
        <c:noMultiLvlLbl val="0"/>
      </c:catAx>
      <c:valAx>
        <c:axId val="1705292784"/>
        <c:scaling>
          <c:orientation val="minMax"/>
        </c:scaling>
        <c:delete val="0"/>
        <c:axPos val="l"/>
        <c:majorGridlines>
          <c:spPr>
            <a:ln w="9525" cap="flat" cmpd="sng" algn="ctr">
              <a:solidFill>
                <a:schemeClr val="tx1">
                  <a:lumMod val="15000"/>
                  <a:lumOff val="85000"/>
                </a:schemeClr>
              </a:solidFill>
              <a:round/>
            </a:ln>
            <a:effectLst/>
          </c:spPr>
        </c:majorGridlines>
        <c:numFmt formatCode="_-* #\ ##0\ [$Ft-40E]_-;\-* #\ ##0\ [$Ft-40E]_-;_-* &quot;-&quot;\ [$Ft-40E]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70529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[Pénzügy Monitor (version 2).xlsx]Dashboard Forrás!PivotTable7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sz="1400" b="0" i="0" u="none" strike="noStrike" baseline="0"/>
              <a:t>Top 3 legnyereségesebb termék</a:t>
            </a:r>
            <a:r>
              <a:rPr lang="hu-HU"/>
              <a:t> hozó termék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Forrás'!$Q$3</c:f>
              <c:strCache>
                <c:ptCount val="1"/>
                <c:pt idx="0">
                  <c:v>Total</c:v>
                </c:pt>
              </c:strCache>
            </c:strRef>
          </c:tx>
          <c:spPr>
            <a:solidFill>
              <a:schemeClr val="accent4"/>
            </a:solidFill>
            <a:ln>
              <a:noFill/>
            </a:ln>
            <a:effectLst/>
          </c:spPr>
          <c:invertIfNegative val="0"/>
          <c:cat>
            <c:strRef>
              <c:f>'Dashboard Forrás'!$P$4:$P$7</c:f>
              <c:strCache>
                <c:ptCount val="3"/>
                <c:pt idx="0">
                  <c:v>ASUS FlexiMonitor 32"</c:v>
                </c:pt>
                <c:pt idx="1">
                  <c:v>BenQ UltraView 32"</c:v>
                </c:pt>
                <c:pt idx="2">
                  <c:v>LG OptiView 24"</c:v>
                </c:pt>
              </c:strCache>
            </c:strRef>
          </c:cat>
          <c:val>
            <c:numRef>
              <c:f>'Dashboard Forrás'!$Q$4:$Q$7</c:f>
              <c:numCache>
                <c:formatCode>_-* #\ ##0\ [$Ft-40E]_-;\-* #\ ##0\ [$Ft-40E]_-;_-* "-"\ [$Ft-40E]_-;_-@_-</c:formatCode>
                <c:ptCount val="3"/>
                <c:pt idx="0">
                  <c:v>97112</c:v>
                </c:pt>
                <c:pt idx="1">
                  <c:v>103324</c:v>
                </c:pt>
                <c:pt idx="2">
                  <c:v>124755</c:v>
                </c:pt>
              </c:numCache>
            </c:numRef>
          </c:val>
          <c:extLst>
            <c:ext xmlns:c16="http://schemas.microsoft.com/office/drawing/2014/chart" uri="{C3380CC4-5D6E-409C-BE32-E72D297353CC}">
              <c16:uniqueId val="{00000000-9C1C-4690-B8C0-275138225EE7}"/>
            </c:ext>
          </c:extLst>
        </c:ser>
        <c:dLbls>
          <c:showLegendKey val="0"/>
          <c:showVal val="0"/>
          <c:showCatName val="0"/>
          <c:showSerName val="0"/>
          <c:showPercent val="0"/>
          <c:showBubbleSize val="0"/>
        </c:dLbls>
        <c:gapWidth val="219"/>
        <c:overlap val="-27"/>
        <c:axId val="1705297104"/>
        <c:axId val="1705298064"/>
      </c:barChart>
      <c:catAx>
        <c:axId val="170529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705298064"/>
        <c:crosses val="autoZero"/>
        <c:auto val="1"/>
        <c:lblAlgn val="ctr"/>
        <c:lblOffset val="100"/>
        <c:noMultiLvlLbl val="0"/>
      </c:catAx>
      <c:valAx>
        <c:axId val="1705298064"/>
        <c:scaling>
          <c:orientation val="minMax"/>
        </c:scaling>
        <c:delete val="0"/>
        <c:axPos val="l"/>
        <c:majorGridlines>
          <c:spPr>
            <a:ln w="9525" cap="flat" cmpd="sng" algn="ctr">
              <a:solidFill>
                <a:schemeClr val="tx1">
                  <a:lumMod val="15000"/>
                  <a:lumOff val="85000"/>
                </a:schemeClr>
              </a:solidFill>
              <a:round/>
            </a:ln>
            <a:effectLst/>
          </c:spPr>
        </c:majorGridlines>
        <c:numFmt formatCode="_-* #\ ##0\ [$Ft-40E]_-;\-* #\ ##0\ [$Ft-40E]_-;_-* &quot;-&quot;\ [$Ft-40E]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70529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[Pénzügy Monitor (version 2).xlsx]Dashboard Forrás!PivotTable8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sz="1400" b="0" i="0" u="none" strike="noStrike" baseline="0"/>
              <a:t>Top 3 legkelendőbb termék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Forrás'!$T$3</c:f>
              <c:strCache>
                <c:ptCount val="1"/>
                <c:pt idx="0">
                  <c:v>Total</c:v>
                </c:pt>
              </c:strCache>
            </c:strRef>
          </c:tx>
          <c:spPr>
            <a:solidFill>
              <a:schemeClr val="accent4"/>
            </a:solidFill>
            <a:ln>
              <a:noFill/>
            </a:ln>
            <a:effectLst/>
          </c:spPr>
          <c:invertIfNegative val="0"/>
          <c:cat>
            <c:strRef>
              <c:f>'Dashboard Forrás'!$S$4:$S$9</c:f>
              <c:strCache>
                <c:ptCount val="5"/>
                <c:pt idx="0">
                  <c:v>HP VisionX 27"</c:v>
                </c:pt>
                <c:pt idx="1">
                  <c:v>ASUS FlexiMonitor 32"</c:v>
                </c:pt>
                <c:pt idx="2">
                  <c:v>LG VisionX 32"</c:v>
                </c:pt>
                <c:pt idx="3">
                  <c:v>BenQ UltraView 32"</c:v>
                </c:pt>
                <c:pt idx="4">
                  <c:v>LG OptiView 24"</c:v>
                </c:pt>
              </c:strCache>
            </c:strRef>
          </c:cat>
          <c:val>
            <c:numRef>
              <c:f>'Dashboard Forrás'!$T$4:$T$9</c:f>
              <c:numCache>
                <c:formatCode>0" db"</c:formatCode>
                <c:ptCount val="5"/>
                <c:pt idx="0">
                  <c:v>4</c:v>
                </c:pt>
                <c:pt idx="1">
                  <c:v>4</c:v>
                </c:pt>
                <c:pt idx="2">
                  <c:v>4</c:v>
                </c:pt>
                <c:pt idx="3">
                  <c:v>4</c:v>
                </c:pt>
                <c:pt idx="4">
                  <c:v>5</c:v>
                </c:pt>
              </c:numCache>
            </c:numRef>
          </c:val>
          <c:extLst>
            <c:ext xmlns:c16="http://schemas.microsoft.com/office/drawing/2014/chart" uri="{C3380CC4-5D6E-409C-BE32-E72D297353CC}">
              <c16:uniqueId val="{00000000-AFDC-4B54-8D6F-E8056DC94E5C}"/>
            </c:ext>
          </c:extLst>
        </c:ser>
        <c:dLbls>
          <c:showLegendKey val="0"/>
          <c:showVal val="0"/>
          <c:showCatName val="0"/>
          <c:showSerName val="0"/>
          <c:showPercent val="0"/>
          <c:showBubbleSize val="0"/>
        </c:dLbls>
        <c:gapWidth val="219"/>
        <c:overlap val="-27"/>
        <c:axId val="1571009504"/>
        <c:axId val="1571026784"/>
      </c:barChart>
      <c:catAx>
        <c:axId val="157100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571026784"/>
        <c:crosses val="autoZero"/>
        <c:auto val="1"/>
        <c:lblAlgn val="ctr"/>
        <c:lblOffset val="100"/>
        <c:noMultiLvlLbl val="0"/>
      </c:catAx>
      <c:valAx>
        <c:axId val="1571026784"/>
        <c:scaling>
          <c:orientation val="minMax"/>
        </c:scaling>
        <c:delete val="0"/>
        <c:axPos val="l"/>
        <c:majorGridlines>
          <c:spPr>
            <a:ln w="9525" cap="flat" cmpd="sng" algn="ctr">
              <a:solidFill>
                <a:schemeClr val="tx1">
                  <a:lumMod val="15000"/>
                  <a:lumOff val="85000"/>
                </a:schemeClr>
              </a:solidFill>
              <a:round/>
            </a:ln>
            <a:effectLst/>
          </c:spPr>
        </c:majorGridlines>
        <c:numFmt formatCode="0&quot; d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57100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[Pénzügy Monitor (version 2).xlsx]Dashboard Forrás!PivotTable9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sz="1400" b="0" i="0" u="none" strike="noStrike" baseline="0"/>
              <a:t>Top 3 legnagyobb bevételt hozó termék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Forrás'!$W$3</c:f>
              <c:strCache>
                <c:ptCount val="1"/>
                <c:pt idx="0">
                  <c:v>Total</c:v>
                </c:pt>
              </c:strCache>
            </c:strRef>
          </c:tx>
          <c:spPr>
            <a:solidFill>
              <a:schemeClr val="accent4"/>
            </a:solidFill>
            <a:ln>
              <a:noFill/>
            </a:ln>
            <a:effectLst/>
          </c:spPr>
          <c:invertIfNegative val="0"/>
          <c:cat>
            <c:strRef>
              <c:f>'Dashboard Forrás'!$V$4:$V$7</c:f>
              <c:strCache>
                <c:ptCount val="3"/>
                <c:pt idx="0">
                  <c:v>ASUS FlexiMonitor 32"</c:v>
                </c:pt>
                <c:pt idx="1">
                  <c:v>BenQ UltraView 32"</c:v>
                </c:pt>
                <c:pt idx="2">
                  <c:v>LG OptiView 24"</c:v>
                </c:pt>
              </c:strCache>
            </c:strRef>
          </c:cat>
          <c:val>
            <c:numRef>
              <c:f>'Dashboard Forrás'!$W$4:$W$7</c:f>
              <c:numCache>
                <c:formatCode>_-* #\ ##0\ [$Ft-40E]_-;\-* #\ ##0\ [$Ft-40E]_-;_-* "-"\ [$Ft-40E]_-;_-@_-</c:formatCode>
                <c:ptCount val="3"/>
                <c:pt idx="0">
                  <c:v>298312</c:v>
                </c:pt>
                <c:pt idx="1">
                  <c:v>342924</c:v>
                </c:pt>
                <c:pt idx="2">
                  <c:v>403755</c:v>
                </c:pt>
              </c:numCache>
            </c:numRef>
          </c:val>
          <c:extLst>
            <c:ext xmlns:c16="http://schemas.microsoft.com/office/drawing/2014/chart" uri="{C3380CC4-5D6E-409C-BE32-E72D297353CC}">
              <c16:uniqueId val="{00000000-83D6-403B-B192-622E3DF6253B}"/>
            </c:ext>
          </c:extLst>
        </c:ser>
        <c:dLbls>
          <c:showLegendKey val="0"/>
          <c:showVal val="0"/>
          <c:showCatName val="0"/>
          <c:showSerName val="0"/>
          <c:showPercent val="0"/>
          <c:showBubbleSize val="0"/>
        </c:dLbls>
        <c:gapWidth val="219"/>
        <c:overlap val="-27"/>
        <c:axId val="1571018144"/>
        <c:axId val="1571019584"/>
      </c:barChart>
      <c:catAx>
        <c:axId val="157101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571019584"/>
        <c:crosses val="autoZero"/>
        <c:auto val="1"/>
        <c:lblAlgn val="ctr"/>
        <c:lblOffset val="100"/>
        <c:noMultiLvlLbl val="0"/>
      </c:catAx>
      <c:valAx>
        <c:axId val="1571019584"/>
        <c:scaling>
          <c:orientation val="minMax"/>
        </c:scaling>
        <c:delete val="0"/>
        <c:axPos val="l"/>
        <c:majorGridlines>
          <c:spPr>
            <a:ln w="9525" cap="flat" cmpd="sng" algn="ctr">
              <a:solidFill>
                <a:schemeClr val="tx1">
                  <a:lumMod val="15000"/>
                  <a:lumOff val="85000"/>
                </a:schemeClr>
              </a:solidFill>
              <a:round/>
            </a:ln>
            <a:effectLst/>
          </c:spPr>
        </c:majorGridlines>
        <c:numFmt formatCode="_-* #\ ##0\ [$Ft-40E]_-;\-* #\ ##0\ [$Ft-40E]_-;_-* &quot;-&quot;\ [$Ft-40E]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57101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[Pénzügy Monitor (version 2).xlsx]Dashboard Forrás!PivotTable13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Profit megoszlása márkánként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tint val="48000"/>
            </a:schemeClr>
          </a:solidFill>
          <a:ln w="19050">
            <a:solidFill>
              <a:schemeClr val="lt1"/>
            </a:solidFill>
          </a:ln>
          <a:effectLst/>
        </c:spPr>
      </c:pivotFmt>
      <c:pivotFmt>
        <c:idx val="11"/>
        <c:spPr>
          <a:solidFill>
            <a:schemeClr val="accent4">
              <a:tint val="54000"/>
            </a:schemeClr>
          </a:solidFill>
          <a:ln w="19050">
            <a:solidFill>
              <a:schemeClr val="lt1"/>
            </a:solidFill>
          </a:ln>
          <a:effectLst/>
        </c:spPr>
      </c:pivotFmt>
      <c:pivotFmt>
        <c:idx val="12"/>
        <c:spPr>
          <a:solidFill>
            <a:schemeClr val="accent4">
              <a:tint val="83000"/>
            </a:schemeClr>
          </a:solidFill>
          <a:ln w="19050">
            <a:solidFill>
              <a:schemeClr val="lt1"/>
            </a:solidFill>
          </a:ln>
          <a:effectLst/>
        </c:spPr>
      </c:pivotFmt>
      <c:pivotFmt>
        <c:idx val="13"/>
        <c:spPr>
          <a:solidFill>
            <a:schemeClr val="accent4">
              <a:tint val="77000"/>
            </a:schemeClr>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4">
              <a:shade val="76000"/>
            </a:schemeClr>
          </a:solidFill>
          <a:ln w="19050">
            <a:solidFill>
              <a:schemeClr val="lt1"/>
            </a:solidFill>
          </a:ln>
          <a:effectLst/>
        </c:spPr>
      </c:pivotFmt>
      <c:pivotFmt>
        <c:idx val="16"/>
        <c:spPr>
          <a:solidFill>
            <a:schemeClr val="accent4">
              <a:shade val="53000"/>
            </a:schemeClr>
          </a:solidFill>
          <a:ln w="19050">
            <a:solidFill>
              <a:schemeClr val="lt1"/>
            </a:solidFill>
          </a:ln>
          <a:effectLst/>
        </c:spPr>
      </c:pivotFmt>
    </c:pivotFmts>
    <c:plotArea>
      <c:layout/>
      <c:pieChart>
        <c:varyColors val="1"/>
        <c:ser>
          <c:idx val="0"/>
          <c:order val="0"/>
          <c:tx>
            <c:strRef>
              <c:f>'Dashboard Forrás'!$C$32</c:f>
              <c:strCache>
                <c:ptCount val="1"/>
                <c:pt idx="0">
                  <c:v>Total</c:v>
                </c:pt>
              </c:strCache>
            </c:strRef>
          </c:tx>
          <c:dPt>
            <c:idx val="0"/>
            <c:bubble3D val="0"/>
            <c:spPr>
              <a:solidFill>
                <a:schemeClr val="accent4">
                  <a:tint val="48000"/>
                </a:schemeClr>
              </a:solidFill>
              <a:ln w="19050">
                <a:solidFill>
                  <a:schemeClr val="lt1"/>
                </a:solidFill>
              </a:ln>
              <a:effectLst/>
            </c:spPr>
            <c:extLst>
              <c:ext xmlns:c16="http://schemas.microsoft.com/office/drawing/2014/chart" uri="{C3380CC4-5D6E-409C-BE32-E72D297353CC}">
                <c16:uniqueId val="{00000019-6C03-4A3C-A29D-E02C6359738A}"/>
              </c:ext>
            </c:extLst>
          </c:dPt>
          <c:dPt>
            <c:idx val="1"/>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1B-6C03-4A3C-A29D-E02C6359738A}"/>
              </c:ext>
            </c:extLst>
          </c:dPt>
          <c:dPt>
            <c:idx val="2"/>
            <c:bubble3D val="0"/>
            <c:spPr>
              <a:solidFill>
                <a:schemeClr val="accent4">
                  <a:tint val="83000"/>
                </a:schemeClr>
              </a:solidFill>
              <a:ln w="19050">
                <a:solidFill>
                  <a:schemeClr val="lt1"/>
                </a:solidFill>
              </a:ln>
              <a:effectLst/>
            </c:spPr>
            <c:extLst>
              <c:ext xmlns:c16="http://schemas.microsoft.com/office/drawing/2014/chart" uri="{C3380CC4-5D6E-409C-BE32-E72D297353CC}">
                <c16:uniqueId val="{0000001D-6C03-4A3C-A29D-E02C6359738A}"/>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CC77-427C-8DF8-D5ECA68A05D8}"/>
              </c:ext>
            </c:extLst>
          </c:dPt>
          <c:dPt>
            <c:idx val="4"/>
            <c:bubble3D val="0"/>
            <c:spPr>
              <a:solidFill>
                <a:schemeClr val="accent4">
                  <a:shade val="82000"/>
                </a:schemeClr>
              </a:solidFill>
              <a:ln w="19050">
                <a:solidFill>
                  <a:schemeClr val="lt1"/>
                </a:solidFill>
              </a:ln>
              <a:effectLst/>
            </c:spPr>
            <c:extLst>
              <c:ext xmlns:c16="http://schemas.microsoft.com/office/drawing/2014/chart" uri="{C3380CC4-5D6E-409C-BE32-E72D297353CC}">
                <c16:uniqueId val="{00000009-CC77-427C-8DF8-D5ECA68A05D8}"/>
              </c:ext>
            </c:extLst>
          </c:dPt>
          <c:dPt>
            <c:idx val="5"/>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B-CC77-427C-8DF8-D5ECA68A05D8}"/>
              </c:ext>
            </c:extLst>
          </c:dPt>
          <c:dPt>
            <c:idx val="6"/>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D-CC77-427C-8DF8-D5ECA68A05D8}"/>
              </c:ext>
            </c:extLst>
          </c:dPt>
          <c:cat>
            <c:strRef>
              <c:f>'Dashboard Forrás'!$B$33:$B$40</c:f>
              <c:strCache>
                <c:ptCount val="7"/>
                <c:pt idx="0">
                  <c:v>Acer</c:v>
                </c:pt>
                <c:pt idx="1">
                  <c:v>ASUS</c:v>
                </c:pt>
                <c:pt idx="2">
                  <c:v>BenQ</c:v>
                </c:pt>
                <c:pt idx="3">
                  <c:v>Dell</c:v>
                </c:pt>
                <c:pt idx="4">
                  <c:v>HP</c:v>
                </c:pt>
                <c:pt idx="5">
                  <c:v>LG</c:v>
                </c:pt>
                <c:pt idx="6">
                  <c:v>Samsung</c:v>
                </c:pt>
              </c:strCache>
            </c:strRef>
          </c:cat>
          <c:val>
            <c:numRef>
              <c:f>'Dashboard Forrás'!$C$33:$C$40</c:f>
              <c:numCache>
                <c:formatCode>_-* #\ ##0\ [$Ft-40E]_-;\-* #\ ##0\ [$Ft-40E]_-;_-* "-"\ [$Ft-40E]_-;_-@_-</c:formatCode>
                <c:ptCount val="7"/>
                <c:pt idx="0">
                  <c:v>139894</c:v>
                </c:pt>
                <c:pt idx="1">
                  <c:v>208874</c:v>
                </c:pt>
                <c:pt idx="2">
                  <c:v>103324</c:v>
                </c:pt>
                <c:pt idx="3">
                  <c:v>104484</c:v>
                </c:pt>
                <c:pt idx="4">
                  <c:v>132138</c:v>
                </c:pt>
                <c:pt idx="5">
                  <c:v>263511</c:v>
                </c:pt>
                <c:pt idx="6">
                  <c:v>209669</c:v>
                </c:pt>
              </c:numCache>
            </c:numRef>
          </c:val>
          <c:extLst>
            <c:ext xmlns:c16="http://schemas.microsoft.com/office/drawing/2014/chart" uri="{C3380CC4-5D6E-409C-BE32-E72D297353CC}">
              <c16:uniqueId val="{0000001E-6C03-4A3C-A29D-E02C635973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[Pénzügy Monitor (version 2).xlsx]Dashboard Forrás!PivotTable14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sz="1400" b="0" i="0" u="none" strike="noStrike" kern="1200" spc="0" baseline="0">
                <a:solidFill>
                  <a:sysClr val="windowText" lastClr="000000">
                    <a:lumMod val="65000"/>
                    <a:lumOff val="35000"/>
                  </a:sysClr>
                </a:solidFill>
              </a:rPr>
              <a:t>Profit megoszlása méretenként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tint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hade val="65000"/>
            </a:schemeClr>
          </a:solidFill>
          <a:ln w="19050">
            <a:solidFill>
              <a:schemeClr val="lt1"/>
            </a:solidFill>
          </a:ln>
          <a:effectLst/>
        </c:spPr>
      </c:pivotFmt>
    </c:pivotFmts>
    <c:plotArea>
      <c:layout/>
      <c:pieChart>
        <c:varyColors val="1"/>
        <c:ser>
          <c:idx val="0"/>
          <c:order val="0"/>
          <c:tx>
            <c:strRef>
              <c:f>'Dashboard Forrás'!$E$32</c:f>
              <c:strCache>
                <c:ptCount val="1"/>
                <c:pt idx="0">
                  <c:v>Total</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6682-49C2-AF26-6089772CD9B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682-49C2-AF26-6089772CD9B2}"/>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6682-49C2-AF26-6089772CD9B2}"/>
              </c:ext>
            </c:extLst>
          </c:dPt>
          <c:cat>
            <c:strRef>
              <c:f>'Dashboard Forrás'!$D$33:$D$36</c:f>
              <c:strCache>
                <c:ptCount val="3"/>
                <c:pt idx="0">
                  <c:v>24"</c:v>
                </c:pt>
                <c:pt idx="1">
                  <c:v>27"</c:v>
                </c:pt>
                <c:pt idx="2">
                  <c:v>32"</c:v>
                </c:pt>
              </c:strCache>
            </c:strRef>
          </c:cat>
          <c:val>
            <c:numRef>
              <c:f>'Dashboard Forrás'!$E$33:$E$36</c:f>
              <c:numCache>
                <c:formatCode>_-* #\ ##0\ [$Ft-40E]_-;\-* #\ ##0\ [$Ft-40E]_-;_-* "-"\ [$Ft-40E]_-;_-@_-</c:formatCode>
                <c:ptCount val="3"/>
                <c:pt idx="0">
                  <c:v>282553</c:v>
                </c:pt>
                <c:pt idx="1">
                  <c:v>393148</c:v>
                </c:pt>
                <c:pt idx="2">
                  <c:v>486193</c:v>
                </c:pt>
              </c:numCache>
            </c:numRef>
          </c:val>
          <c:extLst>
            <c:ext xmlns:c16="http://schemas.microsoft.com/office/drawing/2014/chart" uri="{C3380CC4-5D6E-409C-BE32-E72D297353CC}">
              <c16:uniqueId val="{00000006-6682-49C2-AF26-6089772CD9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[Pénzügy Monitor (version 2).xlsx]Dashboard Forrás!PivotTable3</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hu-HU"/>
              <a:t>városok bevétel szerint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hu-HU"/>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hu-HU"/>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hade val="55000"/>
            </a:schemeClr>
          </a:solidFill>
          <a:ln>
            <a:noFill/>
          </a:ln>
          <a:effectLst/>
        </c:spPr>
      </c:pivotFmt>
      <c:pivotFmt>
        <c:idx val="12"/>
        <c:spPr>
          <a:solidFill>
            <a:schemeClr val="accent6">
              <a:shade val="80000"/>
            </a:schemeClr>
          </a:solidFill>
          <a:ln>
            <a:noFill/>
          </a:ln>
          <a:effectLst/>
        </c:spPr>
      </c:pivotFmt>
      <c:pivotFmt>
        <c:idx val="13"/>
        <c:spPr>
          <a:solidFill>
            <a:schemeClr val="accent6">
              <a:shade val="93000"/>
            </a:schemeClr>
          </a:solidFill>
          <a:ln>
            <a:noFill/>
          </a:ln>
          <a:effectLst/>
        </c:spPr>
      </c:pivotFmt>
      <c:pivotFmt>
        <c:idx val="14"/>
        <c:spPr>
          <a:solidFill>
            <a:schemeClr val="accent6">
              <a:tint val="69000"/>
            </a:schemeClr>
          </a:solidFill>
          <a:ln>
            <a:noFill/>
          </a:ln>
          <a:effectLst/>
        </c:spPr>
      </c:pivotFmt>
      <c:pivotFmt>
        <c:idx val="15"/>
        <c:spPr>
          <a:solidFill>
            <a:schemeClr val="accent6">
              <a:tint val="56000"/>
            </a:schemeClr>
          </a:solidFill>
          <a:ln>
            <a:noFill/>
          </a:ln>
          <a:effectLst/>
        </c:spPr>
      </c:pivotFmt>
      <c:pivotFmt>
        <c:idx val="16"/>
        <c:spPr>
          <a:solidFill>
            <a:schemeClr val="accent6">
              <a:tint val="43000"/>
            </a:schemeClr>
          </a:solidFill>
          <a:ln>
            <a:noFill/>
          </a:ln>
          <a:effectLst/>
        </c:spPr>
      </c:pivotFmt>
      <c:pivotFmt>
        <c:idx val="1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hu-HU"/>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hu-HU"/>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9"/>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hu-HU"/>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0"/>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hu-HU"/>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hu-HU"/>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hu-HU"/>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6"/>
          </a:solidFill>
          <a:ln>
            <a:noFill/>
          </a:ln>
          <a:effectLst>
            <a:outerShdw blurRad="63500" sx="102000" sy="102000" algn="ctr" rotWithShape="0">
              <a:prstClr val="black">
                <a:alpha val="20000"/>
              </a:prstClr>
            </a:outerShdw>
          </a:effectLst>
        </c:spPr>
      </c:pivotFmt>
      <c:pivotFmt>
        <c:idx val="24"/>
        <c:spPr>
          <a:solidFill>
            <a:schemeClr val="accent5"/>
          </a:solidFill>
          <a:ln>
            <a:noFill/>
          </a:ln>
          <a:effectLst>
            <a:outerShdw blurRad="63500" sx="102000" sy="102000" algn="ctr" rotWithShape="0">
              <a:prstClr val="black">
                <a:alpha val="20000"/>
              </a:prstClr>
            </a:outerShdw>
          </a:effectLst>
        </c:spPr>
      </c:pivotFmt>
      <c:pivotFmt>
        <c:idx val="25"/>
        <c:spPr>
          <a:solidFill>
            <a:schemeClr val="accent4"/>
          </a:solidFill>
          <a:ln>
            <a:noFill/>
          </a:ln>
          <a:effectLst>
            <a:outerShdw blurRad="63500" sx="102000" sy="102000" algn="ctr" rotWithShape="0">
              <a:prstClr val="black">
                <a:alpha val="20000"/>
              </a:prstClr>
            </a:outerShdw>
          </a:effectLst>
        </c:spPr>
      </c:pivotFmt>
      <c:pivotFmt>
        <c:idx val="26"/>
        <c:spPr>
          <a:solidFill>
            <a:schemeClr val="accent6">
              <a:shade val="42000"/>
            </a:schemeClr>
          </a:solidFill>
          <a:ln>
            <a:noFill/>
          </a:ln>
          <a:effectLst/>
        </c:spPr>
      </c:pivotFmt>
      <c:pivotFmt>
        <c:idx val="27"/>
        <c:spPr>
          <a:solidFill>
            <a:schemeClr val="accent6">
              <a:shade val="68000"/>
            </a:schemeClr>
          </a:solidFill>
          <a:ln>
            <a:noFill/>
          </a:ln>
          <a:effectLst/>
        </c:spPr>
      </c:pivotFmt>
      <c:pivotFmt>
        <c:idx val="28"/>
        <c:spPr>
          <a:solidFill>
            <a:schemeClr val="accent6">
              <a:tint val="94000"/>
            </a:schemeClr>
          </a:solidFill>
          <a:ln>
            <a:noFill/>
          </a:ln>
          <a:effectLst/>
        </c:spPr>
      </c:pivotFmt>
      <c:pivotFmt>
        <c:idx val="29"/>
        <c:spPr>
          <a:solidFill>
            <a:schemeClr val="accent6">
              <a:tint val="81000"/>
            </a:schemeClr>
          </a:solidFill>
          <a:ln>
            <a:noFill/>
          </a:ln>
          <a:effectLst/>
        </c:spPr>
      </c:pivotFmt>
    </c:pivotFmts>
    <c:plotArea>
      <c:layout/>
      <c:pieChart>
        <c:varyColors val="1"/>
        <c:ser>
          <c:idx val="0"/>
          <c:order val="0"/>
          <c:tx>
            <c:strRef>
              <c:f>'Dashboard Forrás'!$H$1</c:f>
              <c:strCache>
                <c:ptCount val="1"/>
                <c:pt idx="0">
                  <c:v>Total</c:v>
                </c:pt>
              </c:strCache>
            </c:strRef>
          </c:tx>
          <c:dPt>
            <c:idx val="0"/>
            <c:bubble3D val="0"/>
            <c:spPr>
              <a:solidFill>
                <a:schemeClr val="accent6">
                  <a:shade val="42000"/>
                </a:schemeClr>
              </a:solidFill>
              <a:ln>
                <a:noFill/>
              </a:ln>
              <a:effectLst/>
            </c:spPr>
            <c:extLst>
              <c:ext xmlns:c16="http://schemas.microsoft.com/office/drawing/2014/chart" uri="{C3380CC4-5D6E-409C-BE32-E72D297353CC}">
                <c16:uniqueId val="{00000001-099B-4B16-96AB-0C3F8AC6B7C4}"/>
              </c:ext>
            </c:extLst>
          </c:dPt>
          <c:dPt>
            <c:idx val="1"/>
            <c:bubble3D val="0"/>
            <c:spPr>
              <a:solidFill>
                <a:schemeClr val="accent6">
                  <a:shade val="55000"/>
                </a:schemeClr>
              </a:solidFill>
              <a:ln>
                <a:noFill/>
              </a:ln>
              <a:effectLst/>
            </c:spPr>
            <c:extLst>
              <c:ext xmlns:c16="http://schemas.microsoft.com/office/drawing/2014/chart" uri="{C3380CC4-5D6E-409C-BE32-E72D297353CC}">
                <c16:uniqueId val="{00000003-099B-4B16-96AB-0C3F8AC6B7C4}"/>
              </c:ext>
            </c:extLst>
          </c:dPt>
          <c:dPt>
            <c:idx val="2"/>
            <c:bubble3D val="0"/>
            <c:spPr>
              <a:solidFill>
                <a:schemeClr val="accent6">
                  <a:shade val="68000"/>
                </a:schemeClr>
              </a:solidFill>
              <a:ln>
                <a:noFill/>
              </a:ln>
              <a:effectLst/>
            </c:spPr>
            <c:extLst>
              <c:ext xmlns:c16="http://schemas.microsoft.com/office/drawing/2014/chart" uri="{C3380CC4-5D6E-409C-BE32-E72D297353CC}">
                <c16:uniqueId val="{00000005-099B-4B16-96AB-0C3F8AC6B7C4}"/>
              </c:ext>
            </c:extLst>
          </c:dPt>
          <c:dPt>
            <c:idx val="3"/>
            <c:bubble3D val="0"/>
            <c:spPr>
              <a:solidFill>
                <a:schemeClr val="accent6">
                  <a:shade val="80000"/>
                </a:schemeClr>
              </a:solidFill>
              <a:ln>
                <a:noFill/>
              </a:ln>
              <a:effectLst/>
            </c:spPr>
            <c:extLst>
              <c:ext xmlns:c16="http://schemas.microsoft.com/office/drawing/2014/chart" uri="{C3380CC4-5D6E-409C-BE32-E72D297353CC}">
                <c16:uniqueId val="{00000007-099B-4B16-96AB-0C3F8AC6B7C4}"/>
              </c:ext>
            </c:extLst>
          </c:dPt>
          <c:dPt>
            <c:idx val="4"/>
            <c:bubble3D val="0"/>
            <c:spPr>
              <a:solidFill>
                <a:schemeClr val="accent6">
                  <a:shade val="93000"/>
                </a:schemeClr>
              </a:solidFill>
              <a:ln>
                <a:noFill/>
              </a:ln>
              <a:effectLst/>
            </c:spPr>
            <c:extLst>
              <c:ext xmlns:c16="http://schemas.microsoft.com/office/drawing/2014/chart" uri="{C3380CC4-5D6E-409C-BE32-E72D297353CC}">
                <c16:uniqueId val="{00000009-099B-4B16-96AB-0C3F8AC6B7C4}"/>
              </c:ext>
            </c:extLst>
          </c:dPt>
          <c:dPt>
            <c:idx val="5"/>
            <c:bubble3D val="0"/>
            <c:spPr>
              <a:solidFill>
                <a:schemeClr val="accent6">
                  <a:tint val="94000"/>
                </a:schemeClr>
              </a:solidFill>
              <a:ln>
                <a:noFill/>
              </a:ln>
              <a:effectLst/>
            </c:spPr>
            <c:extLst>
              <c:ext xmlns:c16="http://schemas.microsoft.com/office/drawing/2014/chart" uri="{C3380CC4-5D6E-409C-BE32-E72D297353CC}">
                <c16:uniqueId val="{0000000B-099B-4B16-96AB-0C3F8AC6B7C4}"/>
              </c:ext>
            </c:extLst>
          </c:dPt>
          <c:dPt>
            <c:idx val="6"/>
            <c:bubble3D val="0"/>
            <c:spPr>
              <a:solidFill>
                <a:schemeClr val="accent6">
                  <a:tint val="81000"/>
                </a:schemeClr>
              </a:solidFill>
              <a:ln>
                <a:noFill/>
              </a:ln>
              <a:effectLst/>
            </c:spPr>
            <c:extLst>
              <c:ext xmlns:c16="http://schemas.microsoft.com/office/drawing/2014/chart" uri="{C3380CC4-5D6E-409C-BE32-E72D297353CC}">
                <c16:uniqueId val="{0000000D-4405-4493-8439-456E190126D1}"/>
              </c:ext>
            </c:extLst>
          </c:dPt>
          <c:dPt>
            <c:idx val="7"/>
            <c:bubble3D val="0"/>
            <c:spPr>
              <a:solidFill>
                <a:schemeClr val="accent6">
                  <a:tint val="69000"/>
                </a:schemeClr>
              </a:solidFill>
              <a:ln>
                <a:noFill/>
              </a:ln>
              <a:effectLst/>
            </c:spPr>
            <c:extLst>
              <c:ext xmlns:c16="http://schemas.microsoft.com/office/drawing/2014/chart" uri="{C3380CC4-5D6E-409C-BE32-E72D297353CC}">
                <c16:uniqueId val="{0000000F-4405-4493-8439-456E190126D1}"/>
              </c:ext>
            </c:extLst>
          </c:dPt>
          <c:dPt>
            <c:idx val="8"/>
            <c:bubble3D val="0"/>
            <c:spPr>
              <a:solidFill>
                <a:schemeClr val="accent6">
                  <a:tint val="56000"/>
                </a:schemeClr>
              </a:solidFill>
              <a:ln>
                <a:noFill/>
              </a:ln>
              <a:effectLst/>
            </c:spPr>
            <c:extLst>
              <c:ext xmlns:c16="http://schemas.microsoft.com/office/drawing/2014/chart" uri="{C3380CC4-5D6E-409C-BE32-E72D297353CC}">
                <c16:uniqueId val="{00000011-4405-4493-8439-456E190126D1}"/>
              </c:ext>
            </c:extLst>
          </c:dPt>
          <c:dPt>
            <c:idx val="9"/>
            <c:bubble3D val="0"/>
            <c:spPr>
              <a:solidFill>
                <a:schemeClr val="accent6">
                  <a:tint val="43000"/>
                </a:schemeClr>
              </a:solidFill>
              <a:ln>
                <a:noFill/>
              </a:ln>
              <a:effectLst/>
            </c:spPr>
            <c:extLst>
              <c:ext xmlns:c16="http://schemas.microsoft.com/office/drawing/2014/chart" uri="{C3380CC4-5D6E-409C-BE32-E72D297353CC}">
                <c16:uniqueId val="{00000013-4405-4493-8439-456E190126D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hu-HU"/>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'Dashboard Forrás'!$G$2:$G$12</c:f>
              <c:strCache>
                <c:ptCount val="10"/>
                <c:pt idx="0">
                  <c:v>Beograd</c:v>
                </c:pt>
                <c:pt idx="1">
                  <c:v>Budapest</c:v>
                </c:pt>
                <c:pt idx="2">
                  <c:v>Bukarest</c:v>
                </c:pt>
                <c:pt idx="3">
                  <c:v>Debrecen</c:v>
                </c:pt>
                <c:pt idx="4">
                  <c:v>Győr</c:v>
                </c:pt>
                <c:pt idx="5">
                  <c:v>Kijev</c:v>
                </c:pt>
                <c:pt idx="6">
                  <c:v>Koper</c:v>
                </c:pt>
                <c:pt idx="7">
                  <c:v>Miskolc</c:v>
                </c:pt>
                <c:pt idx="8">
                  <c:v>Pécs</c:v>
                </c:pt>
                <c:pt idx="9">
                  <c:v>Szeged</c:v>
                </c:pt>
              </c:strCache>
            </c:strRef>
          </c:cat>
          <c:val>
            <c:numRef>
              <c:f>'Dashboard Forrás'!$H$2:$H$12</c:f>
              <c:numCache>
                <c:formatCode>General</c:formatCode>
                <c:ptCount val="10"/>
                <c:pt idx="0">
                  <c:v>656680</c:v>
                </c:pt>
                <c:pt idx="1">
                  <c:v>3353020</c:v>
                </c:pt>
                <c:pt idx="2">
                  <c:v>1185134</c:v>
                </c:pt>
                <c:pt idx="3">
                  <c:v>4993319</c:v>
                </c:pt>
                <c:pt idx="4">
                  <c:v>3149470</c:v>
                </c:pt>
                <c:pt idx="5">
                  <c:v>675036</c:v>
                </c:pt>
                <c:pt idx="6">
                  <c:v>729973</c:v>
                </c:pt>
                <c:pt idx="7">
                  <c:v>3357392</c:v>
                </c:pt>
                <c:pt idx="8">
                  <c:v>4559716</c:v>
                </c:pt>
                <c:pt idx="9">
                  <c:v>3566410</c:v>
                </c:pt>
              </c:numCache>
            </c:numRef>
          </c:val>
          <c:extLst>
            <c:ext xmlns:c16="http://schemas.microsoft.com/office/drawing/2014/chart" uri="{C3380CC4-5D6E-409C-BE32-E72D297353CC}">
              <c16:uniqueId val="{0000000C-099B-4B16-96AB-0C3F8AC6B7C4}"/>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[Pénzügy Monitor (version 2).xlsx]Dashboard Forrás!PivotTable1</c:name>
    <c:fmtId val="2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hu-HU"/>
              <a:t>Top ügyfélek bevétel szerint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hu-HU"/>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Forrás'!$B$1</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Forrás'!$A$2:$A$12</c:f>
              <c:strCache>
                <c:ptCount val="10"/>
                <c:pt idx="0">
                  <c:v>Farkas László</c:v>
                </c:pt>
                <c:pt idx="1">
                  <c:v>Kiss Dániel</c:v>
                </c:pt>
                <c:pt idx="2">
                  <c:v>Kiss László</c:v>
                </c:pt>
                <c:pt idx="3">
                  <c:v>Németh Eszter</c:v>
                </c:pt>
                <c:pt idx="4">
                  <c:v>Molnár Viktória</c:v>
                </c:pt>
                <c:pt idx="5">
                  <c:v>Nagy Csilla</c:v>
                </c:pt>
                <c:pt idx="6">
                  <c:v>Szabó Hanna</c:v>
                </c:pt>
                <c:pt idx="7">
                  <c:v>Kiss István</c:v>
                </c:pt>
                <c:pt idx="8">
                  <c:v>Molnár Nóra</c:v>
                </c:pt>
                <c:pt idx="9">
                  <c:v>Tóth Ádám</c:v>
                </c:pt>
              </c:strCache>
            </c:strRef>
          </c:cat>
          <c:val>
            <c:numRef>
              <c:f>'Dashboard Forrás'!$B$2:$B$12</c:f>
              <c:numCache>
                <c:formatCode>General</c:formatCode>
                <c:ptCount val="10"/>
                <c:pt idx="0">
                  <c:v>501663</c:v>
                </c:pt>
                <c:pt idx="1">
                  <c:v>509187</c:v>
                </c:pt>
                <c:pt idx="2">
                  <c:v>515872</c:v>
                </c:pt>
                <c:pt idx="3">
                  <c:v>516002</c:v>
                </c:pt>
                <c:pt idx="4">
                  <c:v>524238</c:v>
                </c:pt>
                <c:pt idx="5">
                  <c:v>543860</c:v>
                </c:pt>
                <c:pt idx="6">
                  <c:v>588051</c:v>
                </c:pt>
                <c:pt idx="7">
                  <c:v>593734</c:v>
                </c:pt>
                <c:pt idx="8">
                  <c:v>675036</c:v>
                </c:pt>
                <c:pt idx="9">
                  <c:v>729973</c:v>
                </c:pt>
              </c:numCache>
            </c:numRef>
          </c:val>
          <c:extLst>
            <c:ext xmlns:c16="http://schemas.microsoft.com/office/drawing/2014/chart" uri="{C3380CC4-5D6E-409C-BE32-E72D297353CC}">
              <c16:uniqueId val="{00000000-97D6-42CE-8C43-C302DDC6A31B}"/>
            </c:ext>
          </c:extLst>
        </c:ser>
        <c:dLbls>
          <c:dLblPos val="inEnd"/>
          <c:showLegendKey val="0"/>
          <c:showVal val="1"/>
          <c:showCatName val="0"/>
          <c:showSerName val="0"/>
          <c:showPercent val="0"/>
          <c:showBubbleSize val="0"/>
        </c:dLbls>
        <c:gapWidth val="326"/>
        <c:overlap val="-58"/>
        <c:axId val="1256811551"/>
        <c:axId val="1256820191"/>
      </c:barChart>
      <c:catAx>
        <c:axId val="125681155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256820191"/>
        <c:crosses val="autoZero"/>
        <c:auto val="1"/>
        <c:lblAlgn val="ctr"/>
        <c:lblOffset val="100"/>
        <c:noMultiLvlLbl val="0"/>
      </c:catAx>
      <c:valAx>
        <c:axId val="125682019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25681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[Pénzügy Monitor (version 2).xlsx]Dashboard Forrás!PivotTable2</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hu-HU"/>
              <a:t>ÜGYfél</a:t>
            </a:r>
            <a:r>
              <a:rPr lang="hu-HU" baseline="0"/>
              <a:t> típusok bevétel szerint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hu-HU"/>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Forrás'!$E$1</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'Dashboard Forrás'!$D$2:$D$5</c:f>
              <c:strCache>
                <c:ptCount val="3"/>
                <c:pt idx="0">
                  <c:v>Egyszeri Vásárló</c:v>
                </c:pt>
                <c:pt idx="1">
                  <c:v>VIP</c:v>
                </c:pt>
                <c:pt idx="2">
                  <c:v>Visszatérő Vásárló</c:v>
                </c:pt>
              </c:strCache>
            </c:strRef>
          </c:cat>
          <c:val>
            <c:numRef>
              <c:f>'Dashboard Forrás'!$E$2:$E$5</c:f>
              <c:numCache>
                <c:formatCode>General</c:formatCode>
                <c:ptCount val="3"/>
                <c:pt idx="0">
                  <c:v>16779824</c:v>
                </c:pt>
                <c:pt idx="1">
                  <c:v>3993092</c:v>
                </c:pt>
                <c:pt idx="2">
                  <c:v>10274693</c:v>
                </c:pt>
              </c:numCache>
            </c:numRef>
          </c:val>
          <c:extLst>
            <c:ext xmlns:c16="http://schemas.microsoft.com/office/drawing/2014/chart" uri="{C3380CC4-5D6E-409C-BE32-E72D297353CC}">
              <c16:uniqueId val="{00000000-4031-404D-A20D-136562B43DF9}"/>
            </c:ext>
          </c:extLst>
        </c:ser>
        <c:dLbls>
          <c:showLegendKey val="0"/>
          <c:showVal val="0"/>
          <c:showCatName val="0"/>
          <c:showSerName val="0"/>
          <c:showPercent val="0"/>
          <c:showBubbleSize val="0"/>
        </c:dLbls>
        <c:gapWidth val="355"/>
        <c:overlap val="-70"/>
        <c:axId val="1248788879"/>
        <c:axId val="1248789359"/>
      </c:barChart>
      <c:catAx>
        <c:axId val="12487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248789359"/>
        <c:crosses val="autoZero"/>
        <c:auto val="1"/>
        <c:lblAlgn val="ctr"/>
        <c:lblOffset val="100"/>
        <c:noMultiLvlLbl val="0"/>
      </c:catAx>
      <c:valAx>
        <c:axId val="124878935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24878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[Pénzügy Monitor (version 2).xlsx]Dashboard Forrás!PivotTable4</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hu-HU"/>
              <a:t>TOP VÁROSok</a:t>
            </a:r>
            <a:r>
              <a:rPr lang="hu-HU" baseline="0"/>
              <a:t> REnDELÉS SZERINT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hu-HU"/>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Forrás'!$I$27</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'Dashboard Forrás'!$H$28:$H$39</c:f>
              <c:strCache>
                <c:ptCount val="11"/>
                <c:pt idx="0">
                  <c:v>Zagreb</c:v>
                </c:pt>
                <c:pt idx="1">
                  <c:v>Koper</c:v>
                </c:pt>
                <c:pt idx="2">
                  <c:v>Kijev</c:v>
                </c:pt>
                <c:pt idx="3">
                  <c:v>Beograd</c:v>
                </c:pt>
                <c:pt idx="4">
                  <c:v>Bukarest</c:v>
                </c:pt>
                <c:pt idx="5">
                  <c:v>Győr</c:v>
                </c:pt>
                <c:pt idx="6">
                  <c:v>Budapest</c:v>
                </c:pt>
                <c:pt idx="7">
                  <c:v>Miskolc</c:v>
                </c:pt>
                <c:pt idx="8">
                  <c:v>Szeged</c:v>
                </c:pt>
                <c:pt idx="9">
                  <c:v>Pécs</c:v>
                </c:pt>
                <c:pt idx="10">
                  <c:v>Debrecen</c:v>
                </c:pt>
              </c:strCache>
            </c:strRef>
          </c:cat>
          <c:val>
            <c:numRef>
              <c:f>'Dashboard Forrás'!$I$28:$I$39</c:f>
              <c:numCache>
                <c:formatCode>General</c:formatCode>
                <c:ptCount val="11"/>
                <c:pt idx="0">
                  <c:v>8</c:v>
                </c:pt>
                <c:pt idx="1">
                  <c:v>8</c:v>
                </c:pt>
                <c:pt idx="2">
                  <c:v>9</c:v>
                </c:pt>
                <c:pt idx="3">
                  <c:v>11</c:v>
                </c:pt>
                <c:pt idx="4">
                  <c:v>16</c:v>
                </c:pt>
                <c:pt idx="5">
                  <c:v>40</c:v>
                </c:pt>
                <c:pt idx="6">
                  <c:v>43</c:v>
                </c:pt>
                <c:pt idx="7">
                  <c:v>45</c:v>
                </c:pt>
                <c:pt idx="8">
                  <c:v>50</c:v>
                </c:pt>
                <c:pt idx="9">
                  <c:v>60</c:v>
                </c:pt>
                <c:pt idx="10">
                  <c:v>62</c:v>
                </c:pt>
              </c:numCache>
            </c:numRef>
          </c:val>
          <c:extLst>
            <c:ext xmlns:c16="http://schemas.microsoft.com/office/drawing/2014/chart" uri="{C3380CC4-5D6E-409C-BE32-E72D297353CC}">
              <c16:uniqueId val="{00000000-F901-4699-892F-0F54076171FC}"/>
            </c:ext>
          </c:extLst>
        </c:ser>
        <c:dLbls>
          <c:showLegendKey val="0"/>
          <c:showVal val="0"/>
          <c:showCatName val="0"/>
          <c:showSerName val="0"/>
          <c:showPercent val="0"/>
          <c:showBubbleSize val="0"/>
        </c:dLbls>
        <c:gapWidth val="355"/>
        <c:overlap val="-70"/>
        <c:axId val="1256777951"/>
        <c:axId val="1256781311"/>
      </c:barChart>
      <c:catAx>
        <c:axId val="125677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256781311"/>
        <c:crosses val="autoZero"/>
        <c:auto val="1"/>
        <c:lblAlgn val="ctr"/>
        <c:lblOffset val="100"/>
        <c:noMultiLvlLbl val="0"/>
      </c:catAx>
      <c:valAx>
        <c:axId val="125678131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25677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5</xdr:col>
      <xdr:colOff>525780</xdr:colOff>
      <xdr:row>1</xdr:row>
      <xdr:rowOff>175260</xdr:rowOff>
    </xdr:from>
    <xdr:to>
      <xdr:col>14</xdr:col>
      <xdr:colOff>434340</xdr:colOff>
      <xdr:row>9</xdr:row>
      <xdr:rowOff>76200</xdr:rowOff>
    </xdr:to>
    <mc:AlternateContent xmlns:mc="http://schemas.openxmlformats.org/markup-compatibility/2006" xmlns:tsle="http://schemas.microsoft.com/office/drawing/2012/timeslicer">
      <mc:Choice Requires="tsle">
        <xdr:graphicFrame macro="">
          <xdr:nvGraphicFramePr>
            <xdr:cNvPr id="6" name="Rendelés Dátuma">
              <a:extLst>
                <a:ext uri="{FF2B5EF4-FFF2-40B4-BE49-F238E27FC236}">
                  <a16:creationId xmlns:a16="http://schemas.microsoft.com/office/drawing/2014/main" id="{9CADB0CF-28BD-CAD7-A245-6992607B777F}"/>
                </a:ext>
              </a:extLst>
            </xdr:cNvPr>
            <xdr:cNvGraphicFramePr/>
          </xdr:nvGraphicFramePr>
          <xdr:xfrm>
            <a:off x="0" y="0"/>
            <a:ext cx="0" cy="0"/>
          </xdr:xfrm>
          <a:graphic>
            <a:graphicData uri="http://schemas.microsoft.com/office/drawing/2012/timeslicer">
              <tsle:timeslicer name="Rendelés Dátuma"/>
            </a:graphicData>
          </a:graphic>
        </xdr:graphicFrame>
      </mc:Choice>
      <mc:Fallback xmlns="">
        <xdr:sp macro="" textlink="">
          <xdr:nvSpPr>
            <xdr:cNvPr id="0" name=""/>
            <xdr:cNvSpPr>
              <a:spLocks noTextEdit="1"/>
            </xdr:cNvSpPr>
          </xdr:nvSpPr>
          <xdr:spPr>
            <a:xfrm>
              <a:off x="5722620" y="365760"/>
              <a:ext cx="7284720" cy="1371600"/>
            </a:xfrm>
            <a:prstGeom prst="rect">
              <a:avLst/>
            </a:prstGeom>
            <a:solidFill>
              <a:prstClr val="white"/>
            </a:solidFill>
            <a:ln w="1">
              <a:solidFill>
                <a:prstClr val="green"/>
              </a:solidFill>
            </a:ln>
          </xdr:spPr>
          <xdr:txBody>
            <a:bodyPr vertOverflow="clip" horzOverflow="clip"/>
            <a:lstStyle/>
            <a:p>
              <a:r>
                <a:rPr lang="hu-HU" sz="1100"/>
                <a:t>Timeline: Works in Excel 2013 or higher. Do not move or resize.</a:t>
              </a:r>
            </a:p>
          </xdr:txBody>
        </xdr:sp>
      </mc:Fallback>
    </mc:AlternateContent>
    <xdr:clientData/>
  </xdr:twoCellAnchor>
  <xdr:twoCellAnchor editAs="oneCell">
    <xdr:from>
      <xdr:col>12</xdr:col>
      <xdr:colOff>222885</xdr:colOff>
      <xdr:row>10</xdr:row>
      <xdr:rowOff>5715</xdr:rowOff>
    </xdr:from>
    <xdr:to>
      <xdr:col>14</xdr:col>
      <xdr:colOff>584835</xdr:colOff>
      <xdr:row>15</xdr:row>
      <xdr:rowOff>62865</xdr:rowOff>
    </xdr:to>
    <mc:AlternateContent xmlns:mc="http://schemas.openxmlformats.org/markup-compatibility/2006" xmlns:a14="http://schemas.microsoft.com/office/drawing/2010/main">
      <mc:Choice Requires="a14">
        <xdr:graphicFrame macro="">
          <xdr:nvGraphicFramePr>
            <xdr:cNvPr id="7" name="Állapot">
              <a:extLst>
                <a:ext uri="{FF2B5EF4-FFF2-40B4-BE49-F238E27FC236}">
                  <a16:creationId xmlns:a16="http://schemas.microsoft.com/office/drawing/2014/main" id="{29DA1256-9D3B-2428-FF89-2E09D609B3A8}"/>
                </a:ext>
                <a:ext uri="{147F2762-F138-4A5C-976F-8EAC2B608ADB}">
                  <a16:predDERef xmlns:a16="http://schemas.microsoft.com/office/drawing/2014/main" pred="{9CADB0CF-28BD-CAD7-A245-6992607B777F}"/>
                </a:ext>
              </a:extLst>
            </xdr:cNvPr>
            <xdr:cNvGraphicFramePr/>
          </xdr:nvGraphicFramePr>
          <xdr:xfrm>
            <a:off x="0" y="0"/>
            <a:ext cx="0" cy="0"/>
          </xdr:xfrm>
          <a:graphic>
            <a:graphicData uri="http://schemas.microsoft.com/office/drawing/2010/slicer">
              <sle:slicer xmlns:sle="http://schemas.microsoft.com/office/drawing/2010/slicer" name="Állapot"/>
            </a:graphicData>
          </a:graphic>
        </xdr:graphicFrame>
      </mc:Choice>
      <mc:Fallback xmlns="">
        <xdr:sp macro="" textlink="">
          <xdr:nvSpPr>
            <xdr:cNvPr id="0" name=""/>
            <xdr:cNvSpPr>
              <a:spLocks noTextEdit="1"/>
            </xdr:cNvSpPr>
          </xdr:nvSpPr>
          <xdr:spPr>
            <a:xfrm>
              <a:off x="11332845" y="1849755"/>
              <a:ext cx="1824990" cy="971550"/>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381000</xdr:colOff>
      <xdr:row>10</xdr:row>
      <xdr:rowOff>5715</xdr:rowOff>
    </xdr:from>
    <xdr:to>
      <xdr:col>7</xdr:col>
      <xdr:colOff>419100</xdr:colOff>
      <xdr:row>23</xdr:row>
      <xdr:rowOff>93345</xdr:rowOff>
    </xdr:to>
    <mc:AlternateContent xmlns:mc="http://schemas.openxmlformats.org/markup-compatibility/2006" xmlns:a14="http://schemas.microsoft.com/office/drawing/2010/main">
      <mc:Choice Requires="a14">
        <xdr:graphicFrame macro="">
          <xdr:nvGraphicFramePr>
            <xdr:cNvPr id="8" name="Termék">
              <a:extLst>
                <a:ext uri="{FF2B5EF4-FFF2-40B4-BE49-F238E27FC236}">
                  <a16:creationId xmlns:a16="http://schemas.microsoft.com/office/drawing/2014/main" id="{4788BCF8-39C8-E058-7E4E-16E60702131F}"/>
                </a:ext>
                <a:ext uri="{147F2762-F138-4A5C-976F-8EAC2B608ADB}">
                  <a16:predDERef xmlns:a16="http://schemas.microsoft.com/office/drawing/2014/main" pred="{29DA1256-9D3B-2428-FF89-2E09D609B3A8}"/>
                </a:ext>
              </a:extLst>
            </xdr:cNvPr>
            <xdr:cNvGraphicFramePr/>
          </xdr:nvGraphicFramePr>
          <xdr:xfrm>
            <a:off x="0" y="0"/>
            <a:ext cx="0" cy="0"/>
          </xdr:xfrm>
          <a:graphic>
            <a:graphicData uri="http://schemas.microsoft.com/office/drawing/2010/slicer">
              <sle:slicer xmlns:sle="http://schemas.microsoft.com/office/drawing/2010/slicer" name="Termék"/>
            </a:graphicData>
          </a:graphic>
        </xdr:graphicFrame>
      </mc:Choice>
      <mc:Fallback xmlns="">
        <xdr:sp macro="" textlink="">
          <xdr:nvSpPr>
            <xdr:cNvPr id="0" name=""/>
            <xdr:cNvSpPr>
              <a:spLocks noTextEdit="1"/>
            </xdr:cNvSpPr>
          </xdr:nvSpPr>
          <xdr:spPr>
            <a:xfrm>
              <a:off x="5577840" y="1849755"/>
              <a:ext cx="1836420" cy="2465070"/>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489585</xdr:colOff>
      <xdr:row>10</xdr:row>
      <xdr:rowOff>5715</xdr:rowOff>
    </xdr:from>
    <xdr:to>
      <xdr:col>9</xdr:col>
      <xdr:colOff>622935</xdr:colOff>
      <xdr:row>22</xdr:row>
      <xdr:rowOff>81915</xdr:rowOff>
    </xdr:to>
    <mc:AlternateContent xmlns:mc="http://schemas.openxmlformats.org/markup-compatibility/2006" xmlns:a14="http://schemas.microsoft.com/office/drawing/2010/main">
      <mc:Choice Requires="a14">
        <xdr:graphicFrame macro="">
          <xdr:nvGraphicFramePr>
            <xdr:cNvPr id="2" name="Márka">
              <a:extLst>
                <a:ext uri="{FF2B5EF4-FFF2-40B4-BE49-F238E27FC236}">
                  <a16:creationId xmlns:a16="http://schemas.microsoft.com/office/drawing/2014/main" id="{CF7520A7-564C-4E51-0FA5-862A6F36AFF6}"/>
                </a:ext>
                <a:ext uri="{147F2762-F138-4A5C-976F-8EAC2B608ADB}">
                  <a16:predDERef xmlns:a16="http://schemas.microsoft.com/office/drawing/2014/main" pred="{4788BCF8-39C8-E058-7E4E-16E60702131F}"/>
                </a:ext>
              </a:extLst>
            </xdr:cNvPr>
            <xdr:cNvGraphicFramePr/>
          </xdr:nvGraphicFramePr>
          <xdr:xfrm>
            <a:off x="0" y="0"/>
            <a:ext cx="0" cy="0"/>
          </xdr:xfrm>
          <a:graphic>
            <a:graphicData uri="http://schemas.microsoft.com/office/drawing/2010/slicer">
              <sle:slicer xmlns:sle="http://schemas.microsoft.com/office/drawing/2010/slicer" name="Márka"/>
            </a:graphicData>
          </a:graphic>
        </xdr:graphicFrame>
      </mc:Choice>
      <mc:Fallback xmlns="">
        <xdr:sp macro="" textlink="">
          <xdr:nvSpPr>
            <xdr:cNvPr id="0" name=""/>
            <xdr:cNvSpPr>
              <a:spLocks noTextEdit="1"/>
            </xdr:cNvSpPr>
          </xdr:nvSpPr>
          <xdr:spPr>
            <a:xfrm>
              <a:off x="7484745" y="1849755"/>
              <a:ext cx="1824990" cy="2270760"/>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689610</xdr:colOff>
      <xdr:row>10</xdr:row>
      <xdr:rowOff>5715</xdr:rowOff>
    </xdr:from>
    <xdr:to>
      <xdr:col>12</xdr:col>
      <xdr:colOff>110490</xdr:colOff>
      <xdr:row>16</xdr:row>
      <xdr:rowOff>95250</xdr:rowOff>
    </xdr:to>
    <mc:AlternateContent xmlns:mc="http://schemas.openxmlformats.org/markup-compatibility/2006" xmlns:a14="http://schemas.microsoft.com/office/drawing/2010/main">
      <mc:Choice Requires="a14">
        <xdr:graphicFrame macro="">
          <xdr:nvGraphicFramePr>
            <xdr:cNvPr id="3" name="Méret">
              <a:extLst>
                <a:ext uri="{FF2B5EF4-FFF2-40B4-BE49-F238E27FC236}">
                  <a16:creationId xmlns:a16="http://schemas.microsoft.com/office/drawing/2014/main" id="{34F814EA-9AB1-0BB3-48DB-4F16B072170D}"/>
                </a:ext>
                <a:ext uri="{147F2762-F138-4A5C-976F-8EAC2B608ADB}">
                  <a16:predDERef xmlns:a16="http://schemas.microsoft.com/office/drawing/2014/main" pred="{CF7520A7-564C-4E51-0FA5-862A6F36AFF6}"/>
                </a:ext>
              </a:extLst>
            </xdr:cNvPr>
            <xdr:cNvGraphicFramePr/>
          </xdr:nvGraphicFramePr>
          <xdr:xfrm>
            <a:off x="0" y="0"/>
            <a:ext cx="0" cy="0"/>
          </xdr:xfrm>
          <a:graphic>
            <a:graphicData uri="http://schemas.microsoft.com/office/drawing/2010/slicer">
              <sle:slicer xmlns:sle="http://schemas.microsoft.com/office/drawing/2010/slicer" name="Méret"/>
            </a:graphicData>
          </a:graphic>
        </xdr:graphicFrame>
      </mc:Choice>
      <mc:Fallback xmlns="">
        <xdr:sp macro="" textlink="">
          <xdr:nvSpPr>
            <xdr:cNvPr id="0" name=""/>
            <xdr:cNvSpPr>
              <a:spLocks noTextEdit="1"/>
            </xdr:cNvSpPr>
          </xdr:nvSpPr>
          <xdr:spPr>
            <a:xfrm>
              <a:off x="9376410" y="1849755"/>
              <a:ext cx="1844040" cy="1186815"/>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182048</xdr:colOff>
      <xdr:row>2</xdr:row>
      <xdr:rowOff>163286</xdr:rowOff>
    </xdr:from>
    <xdr:to>
      <xdr:col>7</xdr:col>
      <xdr:colOff>1099457</xdr:colOff>
      <xdr:row>22</xdr:row>
      <xdr:rowOff>84365</xdr:rowOff>
    </xdr:to>
    <xdr:graphicFrame macro="">
      <xdr:nvGraphicFramePr>
        <xdr:cNvPr id="6" name="Bevétel Időben">
          <a:extLst>
            <a:ext uri="{FF2B5EF4-FFF2-40B4-BE49-F238E27FC236}">
              <a16:creationId xmlns:a16="http://schemas.microsoft.com/office/drawing/2014/main" id="{99AC051E-14FC-4E21-9752-3BF1014E8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108857</xdr:colOff>
      <xdr:row>23</xdr:row>
      <xdr:rowOff>161889</xdr:rowOff>
    </xdr:from>
    <xdr:to>
      <xdr:col>4</xdr:col>
      <xdr:colOff>381086</xdr:colOff>
      <xdr:row>45</xdr:row>
      <xdr:rowOff>43432</xdr:rowOff>
    </xdr:to>
    <xdr:graphicFrame macro="">
      <xdr:nvGraphicFramePr>
        <xdr:cNvPr id="7" name="Legnyereségesebb termék">
          <a:extLst>
            <a:ext uri="{FF2B5EF4-FFF2-40B4-BE49-F238E27FC236}">
              <a16:creationId xmlns:a16="http://schemas.microsoft.com/office/drawing/2014/main" id="{7EFEC140-367F-49B9-ACF0-2A21E8A36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536154</xdr:colOff>
      <xdr:row>23</xdr:row>
      <xdr:rowOff>161889</xdr:rowOff>
    </xdr:from>
    <xdr:to>
      <xdr:col>11</xdr:col>
      <xdr:colOff>405611</xdr:colOff>
      <xdr:row>45</xdr:row>
      <xdr:rowOff>43432</xdr:rowOff>
    </xdr:to>
    <xdr:graphicFrame macro="">
      <xdr:nvGraphicFramePr>
        <xdr:cNvPr id="8" name="Top 3 legkelendőbb termék">
          <a:extLst>
            <a:ext uri="{FF2B5EF4-FFF2-40B4-BE49-F238E27FC236}">
              <a16:creationId xmlns:a16="http://schemas.microsoft.com/office/drawing/2014/main" id="{524E0883-E4B2-4D31-85F9-4E71140EA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544926</xdr:colOff>
      <xdr:row>23</xdr:row>
      <xdr:rowOff>163173</xdr:rowOff>
    </xdr:from>
    <xdr:to>
      <xdr:col>22</xdr:col>
      <xdr:colOff>229241</xdr:colOff>
      <xdr:row>45</xdr:row>
      <xdr:rowOff>43432</xdr:rowOff>
    </xdr:to>
    <xdr:graphicFrame macro="">
      <xdr:nvGraphicFramePr>
        <xdr:cNvPr id="9" name="Legnagyobb bevételt hozó termék">
          <a:extLst>
            <a:ext uri="{FF2B5EF4-FFF2-40B4-BE49-F238E27FC236}">
              <a16:creationId xmlns:a16="http://schemas.microsoft.com/office/drawing/2014/main" id="{360C7A94-A724-4BC9-B494-4F0CF768E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30479</xdr:colOff>
      <xdr:row>0</xdr:row>
      <xdr:rowOff>7516</xdr:rowOff>
    </xdr:from>
    <xdr:to>
      <xdr:col>22</xdr:col>
      <xdr:colOff>157679</xdr:colOff>
      <xdr:row>6</xdr:row>
      <xdr:rowOff>128620</xdr:rowOff>
    </xdr:to>
    <mc:AlternateContent xmlns:mc="http://schemas.openxmlformats.org/markup-compatibility/2006" xmlns:tsle="http://schemas.microsoft.com/office/drawing/2012/timeslicer">
      <mc:Choice Requires="tsle">
        <xdr:graphicFrame macro="">
          <xdr:nvGraphicFramePr>
            <xdr:cNvPr id="2" name="Rendelés Dátuma 1">
              <a:extLst>
                <a:ext uri="{FF2B5EF4-FFF2-40B4-BE49-F238E27FC236}">
                  <a16:creationId xmlns:a16="http://schemas.microsoft.com/office/drawing/2014/main" id="{BF4D01C3-1775-4888-8627-927B26B5D7D9}"/>
                </a:ext>
              </a:extLst>
            </xdr:cNvPr>
            <xdr:cNvGraphicFramePr/>
          </xdr:nvGraphicFramePr>
          <xdr:xfrm>
            <a:off x="0" y="0"/>
            <a:ext cx="0" cy="0"/>
          </xdr:xfrm>
          <a:graphic>
            <a:graphicData uri="http://schemas.microsoft.com/office/drawing/2012/timeslicer">
              <tsle:timeslicer name="Rendelés Dátuma 1"/>
            </a:graphicData>
          </a:graphic>
        </xdr:graphicFrame>
      </mc:Choice>
      <mc:Fallback xmlns="">
        <xdr:sp macro="" textlink="">
          <xdr:nvSpPr>
            <xdr:cNvPr id="0" name=""/>
            <xdr:cNvSpPr>
              <a:spLocks noTextEdit="1"/>
            </xdr:cNvSpPr>
          </xdr:nvSpPr>
          <xdr:spPr>
            <a:xfrm>
              <a:off x="10633165" y="7516"/>
              <a:ext cx="8661600" cy="1362075"/>
            </a:xfrm>
            <a:prstGeom prst="rect">
              <a:avLst/>
            </a:prstGeom>
            <a:solidFill>
              <a:prstClr val="white"/>
            </a:solidFill>
            <a:ln w="1">
              <a:solidFill>
                <a:prstClr val="green"/>
              </a:solidFill>
            </a:ln>
          </xdr:spPr>
          <xdr:txBody>
            <a:bodyPr vertOverflow="clip" horzOverflow="clip"/>
            <a:lstStyle/>
            <a:p>
              <a:r>
                <a:rPr lang="hu-HU" sz="1100"/>
                <a:t>Timeline: Works in Excel 2013 or higher. Do not move or resize.</a:t>
              </a:r>
            </a:p>
          </xdr:txBody>
        </xdr:sp>
      </mc:Fallback>
    </mc:AlternateContent>
    <xdr:clientData/>
  </xdr:twoCellAnchor>
  <xdr:twoCellAnchor editAs="oneCell">
    <xdr:from>
      <xdr:col>22</xdr:col>
      <xdr:colOff>281395</xdr:colOff>
      <xdr:row>25</xdr:row>
      <xdr:rowOff>21772</xdr:rowOff>
    </xdr:from>
    <xdr:to>
      <xdr:col>25</xdr:col>
      <xdr:colOff>285478</xdr:colOff>
      <xdr:row>45</xdr:row>
      <xdr:rowOff>32657</xdr:rowOff>
    </xdr:to>
    <mc:AlternateContent xmlns:mc="http://schemas.openxmlformats.org/markup-compatibility/2006" xmlns:a14="http://schemas.microsoft.com/office/drawing/2010/main">
      <mc:Choice Requires="a14">
        <xdr:graphicFrame macro="">
          <xdr:nvGraphicFramePr>
            <xdr:cNvPr id="10" name="Termék 1">
              <a:extLst>
                <a:ext uri="{FF2B5EF4-FFF2-40B4-BE49-F238E27FC236}">
                  <a16:creationId xmlns:a16="http://schemas.microsoft.com/office/drawing/2014/main" id="{ADEC76D6-777F-0A64-68DE-FE28E391C2D2}"/>
                </a:ext>
                <a:ext uri="{147F2762-F138-4A5C-976F-8EAC2B608ADB}">
                  <a16:predDERef xmlns:a16="http://schemas.microsoft.com/office/drawing/2014/main" pred="{BF4D01C3-1775-4888-8627-927B26B5D7D9}"/>
                </a:ext>
              </a:extLst>
            </xdr:cNvPr>
            <xdr:cNvGraphicFramePr/>
          </xdr:nvGraphicFramePr>
          <xdr:xfrm>
            <a:off x="0" y="0"/>
            <a:ext cx="0" cy="0"/>
          </xdr:xfrm>
          <a:graphic>
            <a:graphicData uri="http://schemas.microsoft.com/office/drawing/2010/slicer">
              <sle:slicer xmlns:sle="http://schemas.microsoft.com/office/drawing/2010/slicer" name="Termék 1"/>
            </a:graphicData>
          </a:graphic>
        </xdr:graphicFrame>
      </mc:Choice>
      <mc:Fallback xmlns="">
        <xdr:sp macro="" textlink="">
          <xdr:nvSpPr>
            <xdr:cNvPr id="0" name=""/>
            <xdr:cNvSpPr>
              <a:spLocks noTextEdit="1"/>
            </xdr:cNvSpPr>
          </xdr:nvSpPr>
          <xdr:spPr>
            <a:xfrm>
              <a:off x="19418481" y="4778829"/>
              <a:ext cx="1832883" cy="3712028"/>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285478</xdr:colOff>
      <xdr:row>6</xdr:row>
      <xdr:rowOff>67582</xdr:rowOff>
    </xdr:from>
    <xdr:to>
      <xdr:col>25</xdr:col>
      <xdr:colOff>285478</xdr:colOff>
      <xdr:row>11</xdr:row>
      <xdr:rowOff>47171</xdr:rowOff>
    </xdr:to>
    <mc:AlternateContent xmlns:mc="http://schemas.openxmlformats.org/markup-compatibility/2006" xmlns:a14="http://schemas.microsoft.com/office/drawing/2010/main">
      <mc:Choice Requires="a14">
        <xdr:graphicFrame macro="">
          <xdr:nvGraphicFramePr>
            <xdr:cNvPr id="11" name="Állapot 1">
              <a:extLst>
                <a:ext uri="{FF2B5EF4-FFF2-40B4-BE49-F238E27FC236}">
                  <a16:creationId xmlns:a16="http://schemas.microsoft.com/office/drawing/2014/main" id="{13CDA8EC-944A-FE90-A6DB-0AB82E45210C}"/>
                </a:ext>
                <a:ext uri="{147F2762-F138-4A5C-976F-8EAC2B608ADB}">
                  <a16:predDERef xmlns:a16="http://schemas.microsoft.com/office/drawing/2014/main" pred="{ADEC76D6-777F-0A64-68DE-FE28E391C2D2}"/>
                </a:ext>
              </a:extLst>
            </xdr:cNvPr>
            <xdr:cNvGraphicFramePr/>
          </xdr:nvGraphicFramePr>
          <xdr:xfrm>
            <a:off x="0" y="0"/>
            <a:ext cx="0" cy="0"/>
          </xdr:xfrm>
          <a:graphic>
            <a:graphicData uri="http://schemas.microsoft.com/office/drawing/2010/slicer">
              <sle:slicer xmlns:sle="http://schemas.microsoft.com/office/drawing/2010/slicer" name="Állapot 1"/>
            </a:graphicData>
          </a:graphic>
        </xdr:graphicFrame>
      </mc:Choice>
      <mc:Fallback xmlns="">
        <xdr:sp macro="" textlink="">
          <xdr:nvSpPr>
            <xdr:cNvPr id="0" name=""/>
            <xdr:cNvSpPr>
              <a:spLocks noTextEdit="1"/>
            </xdr:cNvSpPr>
          </xdr:nvSpPr>
          <xdr:spPr>
            <a:xfrm>
              <a:off x="19422564" y="1308553"/>
              <a:ext cx="1828800" cy="904875"/>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285478</xdr:colOff>
      <xdr:row>11</xdr:row>
      <xdr:rowOff>103869</xdr:rowOff>
    </xdr:from>
    <xdr:to>
      <xdr:col>25</xdr:col>
      <xdr:colOff>285478</xdr:colOff>
      <xdr:row>24</xdr:row>
      <xdr:rowOff>97972</xdr:rowOff>
    </xdr:to>
    <mc:AlternateContent xmlns:mc="http://schemas.openxmlformats.org/markup-compatibility/2006" xmlns:a14="http://schemas.microsoft.com/office/drawing/2010/main">
      <mc:Choice Requires="a14">
        <xdr:graphicFrame macro="">
          <xdr:nvGraphicFramePr>
            <xdr:cNvPr id="12" name="Márka 1">
              <a:extLst>
                <a:ext uri="{FF2B5EF4-FFF2-40B4-BE49-F238E27FC236}">
                  <a16:creationId xmlns:a16="http://schemas.microsoft.com/office/drawing/2014/main" id="{E028DA1D-94D8-E469-C5FB-5B2D61503BF0}"/>
                </a:ext>
                <a:ext uri="{147F2762-F138-4A5C-976F-8EAC2B608ADB}">
                  <a16:predDERef xmlns:a16="http://schemas.microsoft.com/office/drawing/2014/main" pred="{13CDA8EC-944A-FE90-A6DB-0AB82E45210C}"/>
                </a:ext>
              </a:extLst>
            </xdr:cNvPr>
            <xdr:cNvGraphicFramePr/>
          </xdr:nvGraphicFramePr>
          <xdr:xfrm>
            <a:off x="0" y="0"/>
            <a:ext cx="0" cy="0"/>
          </xdr:xfrm>
          <a:graphic>
            <a:graphicData uri="http://schemas.microsoft.com/office/drawing/2010/slicer">
              <sle:slicer xmlns:sle="http://schemas.microsoft.com/office/drawing/2010/slicer" name="Márka 1"/>
            </a:graphicData>
          </a:graphic>
        </xdr:graphicFrame>
      </mc:Choice>
      <mc:Fallback xmlns="">
        <xdr:sp macro="" textlink="">
          <xdr:nvSpPr>
            <xdr:cNvPr id="0" name=""/>
            <xdr:cNvSpPr>
              <a:spLocks noTextEdit="1"/>
            </xdr:cNvSpPr>
          </xdr:nvSpPr>
          <xdr:spPr>
            <a:xfrm>
              <a:off x="19422564" y="2270126"/>
              <a:ext cx="1828800" cy="2399846"/>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285478</xdr:colOff>
      <xdr:row>0</xdr:row>
      <xdr:rowOff>20409</xdr:rowOff>
    </xdr:from>
    <xdr:to>
      <xdr:col>25</xdr:col>
      <xdr:colOff>285478</xdr:colOff>
      <xdr:row>6</xdr:row>
      <xdr:rowOff>10885</xdr:rowOff>
    </xdr:to>
    <mc:AlternateContent xmlns:mc="http://schemas.openxmlformats.org/markup-compatibility/2006" xmlns:a14="http://schemas.microsoft.com/office/drawing/2010/main">
      <mc:Choice Requires="a14">
        <xdr:graphicFrame macro="">
          <xdr:nvGraphicFramePr>
            <xdr:cNvPr id="13" name="Méret 1">
              <a:extLst>
                <a:ext uri="{FF2B5EF4-FFF2-40B4-BE49-F238E27FC236}">
                  <a16:creationId xmlns:a16="http://schemas.microsoft.com/office/drawing/2014/main" id="{59ABDEA6-6007-A09C-463F-B646DE4B4979}"/>
                </a:ext>
                <a:ext uri="{147F2762-F138-4A5C-976F-8EAC2B608ADB}">
                  <a16:predDERef xmlns:a16="http://schemas.microsoft.com/office/drawing/2014/main" pred="{E028DA1D-94D8-E469-C5FB-5B2D61503BF0}"/>
                </a:ext>
              </a:extLst>
            </xdr:cNvPr>
            <xdr:cNvGraphicFramePr/>
          </xdr:nvGraphicFramePr>
          <xdr:xfrm>
            <a:off x="0" y="0"/>
            <a:ext cx="0" cy="0"/>
          </xdr:xfrm>
          <a:graphic>
            <a:graphicData uri="http://schemas.microsoft.com/office/drawing/2010/slicer">
              <sle:slicer xmlns:sle="http://schemas.microsoft.com/office/drawing/2010/slicer" name="Méret 1"/>
            </a:graphicData>
          </a:graphic>
        </xdr:graphicFrame>
      </mc:Choice>
      <mc:Fallback xmlns="">
        <xdr:sp macro="" textlink="">
          <xdr:nvSpPr>
            <xdr:cNvPr id="0" name=""/>
            <xdr:cNvSpPr>
              <a:spLocks noTextEdit="1"/>
            </xdr:cNvSpPr>
          </xdr:nvSpPr>
          <xdr:spPr>
            <a:xfrm>
              <a:off x="19422564" y="20409"/>
              <a:ext cx="1828800" cy="1231447"/>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163286</xdr:colOff>
      <xdr:row>7</xdr:row>
      <xdr:rowOff>117022</xdr:rowOff>
    </xdr:from>
    <xdr:to>
      <xdr:col>22</xdr:col>
      <xdr:colOff>226886</xdr:colOff>
      <xdr:row>22</xdr:row>
      <xdr:rowOff>84365</xdr:rowOff>
    </xdr:to>
    <xdr:graphicFrame macro="">
      <xdr:nvGraphicFramePr>
        <xdr:cNvPr id="15" name="Profit megoszlása márkánként">
          <a:extLst>
            <a:ext uri="{FF2B5EF4-FFF2-40B4-BE49-F238E27FC236}">
              <a16:creationId xmlns:a16="http://schemas.microsoft.com/office/drawing/2014/main" id="{2B6734AE-C58D-43E0-A5F8-1F7E1C590DD5}"/>
            </a:ext>
            <a:ext uri="{147F2762-F138-4A5C-976F-8EAC2B608ADB}">
              <a16:predDERef xmlns:a16="http://schemas.microsoft.com/office/drawing/2014/main" pred="{59ABDEA6-6007-A09C-463F-B646DE4B4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66673</xdr:colOff>
      <xdr:row>7</xdr:row>
      <xdr:rowOff>117022</xdr:rowOff>
    </xdr:from>
    <xdr:to>
      <xdr:col>15</xdr:col>
      <xdr:colOff>130273</xdr:colOff>
      <xdr:row>22</xdr:row>
      <xdr:rowOff>84365</xdr:rowOff>
    </xdr:to>
    <xdr:graphicFrame macro="">
      <xdr:nvGraphicFramePr>
        <xdr:cNvPr id="16" name="Profit megoszlása méretenként">
          <a:extLst>
            <a:ext uri="{FF2B5EF4-FFF2-40B4-BE49-F238E27FC236}">
              <a16:creationId xmlns:a16="http://schemas.microsoft.com/office/drawing/2014/main" id="{092A13F5-90B7-4149-8FB3-6E61C9491426}"/>
            </a:ext>
            <a:ext uri="{147F2762-F138-4A5C-976F-8EAC2B608ADB}">
              <a16:predDERef xmlns:a16="http://schemas.microsoft.com/office/drawing/2014/main" pred="{2B6734AE-C58D-43E0-A5F8-1F7E1C590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198120</xdr:colOff>
      <xdr:row>1</xdr:row>
      <xdr:rowOff>175260</xdr:rowOff>
    </xdr:from>
    <xdr:to>
      <xdr:col>5</xdr:col>
      <xdr:colOff>430530</xdr:colOff>
      <xdr:row>15</xdr:row>
      <xdr:rowOff>81915</xdr:rowOff>
    </xdr:to>
    <mc:AlternateContent xmlns:mc="http://schemas.openxmlformats.org/markup-compatibility/2006" xmlns:a14="http://schemas.microsoft.com/office/drawing/2010/main">
      <mc:Choice Requires="a14">
        <xdr:graphicFrame macro="">
          <xdr:nvGraphicFramePr>
            <xdr:cNvPr id="4" name="Ügyfél típusa">
              <a:extLst>
                <a:ext uri="{FF2B5EF4-FFF2-40B4-BE49-F238E27FC236}">
                  <a16:creationId xmlns:a16="http://schemas.microsoft.com/office/drawing/2014/main" id="{D0E91627-4B8F-068B-C486-A884801AD889}"/>
                </a:ext>
              </a:extLst>
            </xdr:cNvPr>
            <xdr:cNvGraphicFramePr/>
          </xdr:nvGraphicFramePr>
          <xdr:xfrm>
            <a:off x="0" y="0"/>
            <a:ext cx="0" cy="0"/>
          </xdr:xfrm>
          <a:graphic>
            <a:graphicData uri="http://schemas.microsoft.com/office/drawing/2010/slicer">
              <sle:slicer xmlns:sle="http://schemas.microsoft.com/office/drawing/2010/slicer" name="Ügyfél típusa"/>
            </a:graphicData>
          </a:graphic>
        </xdr:graphicFrame>
      </mc:Choice>
      <mc:Fallback xmlns="">
        <xdr:sp macro="" textlink="">
          <xdr:nvSpPr>
            <xdr:cNvPr id="0" name=""/>
            <xdr:cNvSpPr>
              <a:spLocks noTextEdit="1"/>
            </xdr:cNvSpPr>
          </xdr:nvSpPr>
          <xdr:spPr>
            <a:xfrm>
              <a:off x="4716780" y="358140"/>
              <a:ext cx="1855470" cy="2466975"/>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480060</xdr:colOff>
      <xdr:row>1</xdr:row>
      <xdr:rowOff>175260</xdr:rowOff>
    </xdr:from>
    <xdr:to>
      <xdr:col>7</xdr:col>
      <xdr:colOff>426720</xdr:colOff>
      <xdr:row>15</xdr:row>
      <xdr:rowOff>81915</xdr:rowOff>
    </xdr:to>
    <mc:AlternateContent xmlns:mc="http://schemas.openxmlformats.org/markup-compatibility/2006" xmlns:a14="http://schemas.microsoft.com/office/drawing/2010/main">
      <mc:Choice Requires="a14">
        <xdr:graphicFrame macro="">
          <xdr:nvGraphicFramePr>
            <xdr:cNvPr id="5" name="Ország 2">
              <a:extLst>
                <a:ext uri="{FF2B5EF4-FFF2-40B4-BE49-F238E27FC236}">
                  <a16:creationId xmlns:a16="http://schemas.microsoft.com/office/drawing/2014/main" id="{B9DBDA3E-7E7C-88C1-8785-A397DAF4C823}"/>
                </a:ext>
              </a:extLst>
            </xdr:cNvPr>
            <xdr:cNvGraphicFramePr/>
          </xdr:nvGraphicFramePr>
          <xdr:xfrm>
            <a:off x="0" y="0"/>
            <a:ext cx="0" cy="0"/>
          </xdr:xfrm>
          <a:graphic>
            <a:graphicData uri="http://schemas.microsoft.com/office/drawing/2010/slicer">
              <sle:slicer xmlns:sle="http://schemas.microsoft.com/office/drawing/2010/slicer" name="Ország 2"/>
            </a:graphicData>
          </a:graphic>
        </xdr:graphicFrame>
      </mc:Choice>
      <mc:Fallback xmlns="">
        <xdr:sp macro="" textlink="">
          <xdr:nvSpPr>
            <xdr:cNvPr id="0" name=""/>
            <xdr:cNvSpPr>
              <a:spLocks noTextEdit="1"/>
            </xdr:cNvSpPr>
          </xdr:nvSpPr>
          <xdr:spPr>
            <a:xfrm>
              <a:off x="6621780" y="358140"/>
              <a:ext cx="1828800" cy="2466975"/>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1</xdr:row>
      <xdr:rowOff>175260</xdr:rowOff>
    </xdr:from>
    <xdr:to>
      <xdr:col>12</xdr:col>
      <xdr:colOff>419100</xdr:colOff>
      <xdr:row>15</xdr:row>
      <xdr:rowOff>81915</xdr:rowOff>
    </xdr:to>
    <mc:AlternateContent xmlns:mc="http://schemas.openxmlformats.org/markup-compatibility/2006" xmlns:a14="http://schemas.microsoft.com/office/drawing/2010/main">
      <mc:Choice Requires="a14">
        <xdr:graphicFrame macro="">
          <xdr:nvGraphicFramePr>
            <xdr:cNvPr id="6" name="Város 1">
              <a:extLst>
                <a:ext uri="{FF2B5EF4-FFF2-40B4-BE49-F238E27FC236}">
                  <a16:creationId xmlns:a16="http://schemas.microsoft.com/office/drawing/2014/main" id="{0118A96D-D658-893B-C131-06063682AE18}"/>
                </a:ext>
              </a:extLst>
            </xdr:cNvPr>
            <xdr:cNvGraphicFramePr/>
          </xdr:nvGraphicFramePr>
          <xdr:xfrm>
            <a:off x="0" y="0"/>
            <a:ext cx="0" cy="0"/>
          </xdr:xfrm>
          <a:graphic>
            <a:graphicData uri="http://schemas.microsoft.com/office/drawing/2010/slicer">
              <sle:slicer xmlns:sle="http://schemas.microsoft.com/office/drawing/2010/slicer" name="Város 1"/>
            </a:graphicData>
          </a:graphic>
        </xdr:graphicFrame>
      </mc:Choice>
      <mc:Fallback xmlns="">
        <xdr:sp macro="" textlink="">
          <xdr:nvSpPr>
            <xdr:cNvPr id="0" name=""/>
            <xdr:cNvSpPr>
              <a:spLocks noTextEdit="1"/>
            </xdr:cNvSpPr>
          </xdr:nvSpPr>
          <xdr:spPr>
            <a:xfrm>
              <a:off x="8481060" y="358140"/>
              <a:ext cx="3009900" cy="2466975"/>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429856</xdr:colOff>
      <xdr:row>0</xdr:row>
      <xdr:rowOff>125503</xdr:rowOff>
    </xdr:from>
    <xdr:to>
      <xdr:col>23</xdr:col>
      <xdr:colOff>152399</xdr:colOff>
      <xdr:row>8</xdr:row>
      <xdr:rowOff>102643</xdr:rowOff>
    </xdr:to>
    <mc:AlternateContent xmlns:mc="http://schemas.openxmlformats.org/markup-compatibility/2006" xmlns:a14="http://schemas.microsoft.com/office/drawing/2010/main">
      <mc:Choice Requires="a14">
        <xdr:graphicFrame macro="">
          <xdr:nvGraphicFramePr>
            <xdr:cNvPr id="3" name="Ország">
              <a:extLst>
                <a:ext uri="{FF2B5EF4-FFF2-40B4-BE49-F238E27FC236}">
                  <a16:creationId xmlns:a16="http://schemas.microsoft.com/office/drawing/2014/main" id="{C5D5EC82-EF8D-4673-AEB4-2B94844E4175}"/>
                </a:ext>
              </a:extLst>
            </xdr:cNvPr>
            <xdr:cNvGraphicFramePr/>
          </xdr:nvGraphicFramePr>
          <xdr:xfrm>
            <a:off x="0" y="0"/>
            <a:ext cx="0" cy="0"/>
          </xdr:xfrm>
          <a:graphic>
            <a:graphicData uri="http://schemas.microsoft.com/office/drawing/2010/slicer">
              <sle:slicer xmlns:sle="http://schemas.microsoft.com/office/drawing/2010/slicer" name="Ország"/>
            </a:graphicData>
          </a:graphic>
        </xdr:graphicFrame>
      </mc:Choice>
      <mc:Fallback xmlns="">
        <xdr:sp macro="" textlink="">
          <xdr:nvSpPr>
            <xdr:cNvPr id="0" name=""/>
            <xdr:cNvSpPr>
              <a:spLocks noTextEdit="1"/>
            </xdr:cNvSpPr>
          </xdr:nvSpPr>
          <xdr:spPr>
            <a:xfrm>
              <a:off x="13491432" y="125503"/>
              <a:ext cx="2770543" cy="1411493"/>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231291</xdr:colOff>
      <xdr:row>0</xdr:row>
      <xdr:rowOff>125503</xdr:rowOff>
    </xdr:from>
    <xdr:to>
      <xdr:col>27</xdr:col>
      <xdr:colOff>564891</xdr:colOff>
      <xdr:row>8</xdr:row>
      <xdr:rowOff>102350</xdr:rowOff>
    </xdr:to>
    <mc:AlternateContent xmlns:mc="http://schemas.openxmlformats.org/markup-compatibility/2006" xmlns:a14="http://schemas.microsoft.com/office/drawing/2010/main">
      <mc:Choice Requires="a14">
        <xdr:graphicFrame macro="">
          <xdr:nvGraphicFramePr>
            <xdr:cNvPr id="5" name="Ügyfél típusa 1">
              <a:extLst>
                <a:ext uri="{FF2B5EF4-FFF2-40B4-BE49-F238E27FC236}">
                  <a16:creationId xmlns:a16="http://schemas.microsoft.com/office/drawing/2014/main" id="{9C6C7EF5-24A8-483D-A955-67425036C93F}"/>
                </a:ext>
              </a:extLst>
            </xdr:cNvPr>
            <xdr:cNvGraphicFramePr/>
          </xdr:nvGraphicFramePr>
          <xdr:xfrm>
            <a:off x="0" y="0"/>
            <a:ext cx="0" cy="0"/>
          </xdr:xfrm>
          <a:graphic>
            <a:graphicData uri="http://schemas.microsoft.com/office/drawing/2010/slicer">
              <sle:slicer xmlns:sle="http://schemas.microsoft.com/office/drawing/2010/slicer" name="Ügyfél típusa 1"/>
            </a:graphicData>
          </a:graphic>
        </xdr:graphicFrame>
      </mc:Choice>
      <mc:Fallback xmlns="">
        <xdr:sp macro="" textlink="">
          <xdr:nvSpPr>
            <xdr:cNvPr id="0" name=""/>
            <xdr:cNvSpPr>
              <a:spLocks noTextEdit="1"/>
            </xdr:cNvSpPr>
          </xdr:nvSpPr>
          <xdr:spPr>
            <a:xfrm>
              <a:off x="16340867" y="125503"/>
              <a:ext cx="2772000" cy="1411200"/>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441513</xdr:colOff>
      <xdr:row>0</xdr:row>
      <xdr:rowOff>125503</xdr:rowOff>
    </xdr:from>
    <xdr:to>
      <xdr:col>18</xdr:col>
      <xdr:colOff>242048</xdr:colOff>
      <xdr:row>27</xdr:row>
      <xdr:rowOff>102549</xdr:rowOff>
    </xdr:to>
    <xdr:graphicFrame macro="">
      <xdr:nvGraphicFramePr>
        <xdr:cNvPr id="6" name="Chart 5">
          <a:extLst>
            <a:ext uri="{FF2B5EF4-FFF2-40B4-BE49-F238E27FC236}">
              <a16:creationId xmlns:a16="http://schemas.microsoft.com/office/drawing/2014/main" id="{C19C534F-8A0B-4BA2-8FF0-82709A59B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98612</xdr:colOff>
      <xdr:row>0</xdr:row>
      <xdr:rowOff>125503</xdr:rowOff>
    </xdr:from>
    <xdr:to>
      <xdr:col>6</xdr:col>
      <xdr:colOff>346038</xdr:colOff>
      <xdr:row>31</xdr:row>
      <xdr:rowOff>54910</xdr:rowOff>
    </xdr:to>
    <xdr:graphicFrame macro="">
      <xdr:nvGraphicFramePr>
        <xdr:cNvPr id="7" name="Chart 6">
          <a:extLst>
            <a:ext uri="{FF2B5EF4-FFF2-40B4-BE49-F238E27FC236}">
              <a16:creationId xmlns:a16="http://schemas.microsoft.com/office/drawing/2014/main" id="{05742A35-6196-468F-86C3-91ACC7A53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493058</xdr:colOff>
      <xdr:row>30</xdr:row>
      <xdr:rowOff>13698</xdr:rowOff>
    </xdr:from>
    <xdr:to>
      <xdr:col>18</xdr:col>
      <xdr:colOff>242048</xdr:colOff>
      <xdr:row>48</xdr:row>
      <xdr:rowOff>26894</xdr:rowOff>
    </xdr:to>
    <xdr:graphicFrame macro="">
      <xdr:nvGraphicFramePr>
        <xdr:cNvPr id="8" name="Chart 7">
          <a:extLst>
            <a:ext uri="{FF2B5EF4-FFF2-40B4-BE49-F238E27FC236}">
              <a16:creationId xmlns:a16="http://schemas.microsoft.com/office/drawing/2014/main" id="{8E055040-E933-4BB7-ADF9-05C260031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98612</xdr:colOff>
      <xdr:row>32</xdr:row>
      <xdr:rowOff>76202</xdr:rowOff>
    </xdr:from>
    <xdr:to>
      <xdr:col>8</xdr:col>
      <xdr:colOff>590801</xdr:colOff>
      <xdr:row>48</xdr:row>
      <xdr:rowOff>26894</xdr:rowOff>
    </xdr:to>
    <xdr:graphicFrame macro="">
      <xdr:nvGraphicFramePr>
        <xdr:cNvPr id="9" name="Chart 8">
          <a:extLst>
            <a:ext uri="{FF2B5EF4-FFF2-40B4-BE49-F238E27FC236}">
              <a16:creationId xmlns:a16="http://schemas.microsoft.com/office/drawing/2014/main" id="{F25885A6-35BF-4BFC-AB01-0D9A698DE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5.775640972221" createdVersion="8" refreshedVersion="8" minRefreshableVersion="3" recordCount="142" xr:uid="{2835DEED-5A9E-410B-87FE-985812B9F1DD}">
  <cacheSource type="worksheet">
    <worksheetSource ref="A1:K143" sheet="Ügyfelek"/>
  </cacheSource>
  <cacheFields count="11">
    <cacheField name="Vásárló ID" numFmtId="0">
      <sharedItems/>
    </cacheField>
    <cacheField name="Név" numFmtId="0">
      <sharedItems count="142">
        <s v="Molnár Eszter"/>
        <s v="Kiss István"/>
        <s v="Németh Péter"/>
        <s v="Kiss László"/>
        <s v="Molnár Orsolya"/>
        <s v="Szabó Ádám"/>
        <s v="Németh Tamás"/>
        <s v="Nagy Bence"/>
        <s v="Nagy György"/>
        <s v="Nagy Csilla"/>
        <s v="Tóth Szabolcs"/>
        <s v="Farkas Zoltán"/>
        <s v="Tóth Hanna"/>
        <s v="Tóth Nóra"/>
        <s v="Farkas Márton"/>
        <s v="Tóth Júlia"/>
        <s v="Szabó Eszter"/>
        <s v="Kiss Dániel"/>
        <s v="Horváth Júlia"/>
        <s v="Molnár Hanna"/>
        <s v="Varga Márton"/>
        <s v="Szabó Hanna"/>
        <s v="Németh István"/>
        <s v="Nagy Zoltán"/>
        <s v="Németh Szabolcs"/>
        <s v="Tóth Eszter"/>
        <s v="Szabó Éva"/>
        <s v="Varga Viktória"/>
        <s v="Kovács Katalin"/>
        <s v="Szabó Zoltán"/>
        <s v="Molnár György"/>
        <s v="Horváth Tamás"/>
        <s v="Nagy Ádám"/>
        <s v="Nagy Tamás"/>
        <s v="Németh Eszter"/>
        <s v="Farkas Tamás"/>
        <s v="Horváth Péter"/>
        <s v="Kiss Tamás"/>
        <s v="Tóth Ádám"/>
        <s v="Tóth Dániel"/>
        <s v="Kiss Ferenc"/>
        <s v="Szabó Zsófia"/>
        <s v="Horváth László"/>
        <s v="Horváth Szabolcs"/>
        <s v="Nagy Orsolya"/>
        <s v="Farkas László"/>
        <s v="Varga Ferenc"/>
        <s v="Kiss Éva"/>
        <s v="Szabó Gábor"/>
        <s v="Szabó Bence"/>
        <s v="Horváth Hanna"/>
        <s v="Kiss Róbert"/>
        <s v="Nagy Dániel"/>
        <s v="Kovács Orsolya"/>
        <s v="Horváth Eszter"/>
        <s v="Molnár Ágnes"/>
        <s v="Molnár Róbert"/>
        <s v="Molnár Viktória"/>
        <s v="Horváth Orsolya"/>
        <s v="Varga Róbert"/>
        <s v="Tóth Ferenc"/>
        <s v="Kovács Ádám"/>
        <s v="Nagy Hanna"/>
        <s v="Kovács László"/>
        <s v="Molnár Nóra"/>
        <s v="Szabó István"/>
        <s v="Németh György"/>
        <s v="Kiss Gábor"/>
        <s v="Varga Szabolcs"/>
        <s v="Németh Ferenc"/>
        <s v="Németh Ágnes"/>
        <s v="Horváth Márton"/>
        <s v="Tóth Zsófia"/>
        <s v="Farkas Ádám"/>
        <s v="Kiss Csilla"/>
        <s v="Farkas Péter"/>
        <s v="Farkas Eszter"/>
        <s v="Szabó Szabolcs"/>
        <s v="Horváth Csilla"/>
        <s v="Szabó László"/>
        <s v="Kiss Hanna"/>
        <s v="Tóth Katalin"/>
        <s v="Molnár Tamás"/>
        <s v="Horváth Zoltán"/>
        <s v="Nagy Szabolcs"/>
        <s v="Kovács Nóra"/>
        <s v="Szabó Katalin"/>
        <s v="Kiss Eszter"/>
        <s v="Molnár Éva"/>
        <s v="Farkas Nóra"/>
        <s v="Horváth Ágnes"/>
        <s v="Németh Gábor"/>
        <s v="Kovács Zsófia"/>
        <s v="Molnár Szabolcs"/>
        <s v="Németh Éva"/>
        <s v="Kovács Dániel"/>
        <s v="Kovács Ágnes"/>
        <s v="Molnár Ádám"/>
        <s v="Németh Viktória"/>
        <s v="Szabó Ferenc"/>
        <s v="Kovács Bence"/>
        <s v="Tóth Viktória"/>
        <s v="Varga Gábor"/>
        <s v="Farkas Róbert"/>
        <s v="Szabó Róbert"/>
        <s v="Kiss Nóra"/>
        <s v="Németh Zoltán"/>
        <s v="Nagy István"/>
        <s v="Kovács Márton"/>
        <s v="Farkas Bence"/>
        <s v="Varga Nóra"/>
        <s v="Farkas Dániel"/>
        <s v="Molnár Zsófia"/>
        <s v="Farkas György"/>
        <s v="Németh Csilla"/>
        <s v="Varga Eszter"/>
        <s v="Farkas Viktória"/>
        <s v="Kiss Orsolya"/>
        <s v="Tóth Gábor"/>
        <s v="Nagy Nóra"/>
        <s v="Nagy Róbert"/>
        <s v="Németh Júlia"/>
        <s v="Horváth Nóra"/>
        <s v="Farkas Ferenc"/>
        <s v="Kovács Éva"/>
        <s v="Kovács Csilla"/>
        <s v="Varga Zoltán"/>
        <s v="Varga Orsolya"/>
        <s v="Nagy Katalin"/>
        <s v="Farkas Zsófia"/>
        <s v="Kovács Hanna"/>
        <s v="Tóth Tamás"/>
        <s v="Nagy Ágnes"/>
        <s v="Kiss Bence"/>
        <s v="Horváth György"/>
        <s v="Tóth Orsolya"/>
        <s v="Kovács Zoltán"/>
        <s v="Varga Csilla"/>
        <s v="Tóth István"/>
        <s v="Kovács István"/>
        <s v="Németh Katalin"/>
        <s v="Horváth Dániel"/>
      </sharedItems>
    </cacheField>
    <cacheField name="Email" numFmtId="0">
      <sharedItems/>
    </cacheField>
    <cacheField name="Telefonszám" numFmtId="0">
      <sharedItems/>
    </cacheField>
    <cacheField name="Ország" numFmtId="0">
      <sharedItems count="8">
        <s v="Magyarország"/>
        <s v="Szlovákia"/>
        <s v="Románia"/>
        <s v="Ukrajna"/>
        <s v="Szerbia"/>
        <s v="Ausztria"/>
        <s v="Szlovénia"/>
        <s v="Horvátország"/>
      </sharedItems>
    </cacheField>
    <cacheField name="Város" numFmtId="0">
      <sharedItems count="24">
        <s v="Szeged"/>
        <s v="Bratislava"/>
        <s v="Miskolc"/>
        <s v="Bukarest"/>
        <s v="Debrecen"/>
        <s v="Pécs"/>
        <s v="Košice"/>
        <s v="Budapest"/>
        <s v="Ungvár"/>
        <s v="Győr"/>
        <s v="Žilina"/>
        <s v="Beograd"/>
        <s v="Linz"/>
        <s v="Koper"/>
        <s v="Zagreb"/>
        <s v="Lviv"/>
        <s v="Rijeka"/>
        <s v="Subotica"/>
        <s v="Kijev"/>
        <s v="Graz"/>
        <s v="Celje"/>
        <s v="Zadar"/>
        <s v="Ljubljana"/>
        <s v="Temesvár"/>
      </sharedItems>
    </cacheField>
    <cacheField name="Regisztráció Dátuma" numFmtId="14">
      <sharedItems containsSemiMixedTypes="0" containsNonDate="0" containsDate="1" containsString="0" minDate="2020-03-14T00:00:00" maxDate="2025-12-31T00:00:00"/>
    </cacheField>
    <cacheField name="Összes Rendelés száma" numFmtId="0">
      <sharedItems containsSemiMixedTypes="0" containsString="0" containsNumber="1" containsInteger="1" minValue="1" maxValue="3"/>
    </cacheField>
    <cacheField name="Rendelt mennyiség" numFmtId="0">
      <sharedItems containsSemiMixedTypes="0" containsString="0" containsNumber="1" containsInteger="1" minValue="1" maxValue="9"/>
    </cacheField>
    <cacheField name="Ügyfél típusa" numFmtId="0">
      <sharedItems count="3">
        <s v="Visszatérő Vásárló"/>
        <s v="VIP"/>
        <s v="Egyszeri Vásárló"/>
      </sharedItems>
    </cacheField>
    <cacheField name="Összes költés" numFmtId="0">
      <sharedItems containsSemiMixedTypes="0" containsString="0" containsNumber="1" containsInteger="1" minValue="51340" maxValue="729973"/>
    </cacheField>
  </cacheFields>
  <extLst>
    <ext xmlns:x14="http://schemas.microsoft.com/office/spreadsheetml/2009/9/main" uri="{725AE2AE-9491-48be-B2B4-4EB974FC3084}">
      <x14:pivotCacheDefinition pivotCacheId="8742785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6.734179861109" createdVersion="8" refreshedVersion="8" minRefreshableVersion="3" recordCount="187" xr:uid="{55C1CA28-3A42-4074-B91E-38727979A38E}">
  <cacheSource type="worksheet">
    <worksheetSource ref="A1:M188" sheet="Rendelések"/>
  </cacheSource>
  <cacheFields count="13">
    <cacheField name="Rendelés Dátuma" numFmtId="14">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Termék" numFmtId="0">
      <sharedItems count="22">
        <s v="ASUS OptiView 32&quot;"/>
        <s v="ASUS ClearScreen 27&quot;"/>
        <s v="Acer ClearScreen 24&quot;"/>
        <s v="Samsung OptiView 32&quot;"/>
        <s v="LG VisionX 32&quot;"/>
        <s v="LG OptiView 24&quot;"/>
        <s v="Samsung VisionX 32&quot;"/>
        <s v="Samsung ProDisplay 27&quot;"/>
        <s v="ASUS FlexiMonitor 32&quot;"/>
        <s v="Dell VisionX 27&quot;"/>
        <s v="Samsung ClearScreen 24&quot;"/>
        <s v="Samsung UltraView 27&quot;"/>
        <s v="LG ProDisplay 32&quot;"/>
        <s v="HP ProDisplay 27&quot;"/>
        <s v="Dell OptiView 24&quot;"/>
        <s v="Samsung FlexiMonitor 24&quot;"/>
        <s v="HP VisionX 27&quot;"/>
        <s v="Dell ProDisplay 27&quot;"/>
        <s v="LG ClearScreen 27&quot;"/>
        <s v="Acer OptiView 27&quot;"/>
        <s v="Samsung FlexiMonitor 27&quot;"/>
        <s v="BenQ UltraView 32&quot;"/>
      </sharedItems>
    </cacheField>
    <cacheField name="Mennyiség" numFmtId="164">
      <sharedItems containsSemiMixedTypes="0" containsString="0" containsNumber="1" containsInteger="1" minValue="1" maxValue="5"/>
    </cacheField>
    <cacheField name="Nettó Összeg" numFmtId="165">
      <sharedItems containsSemiMixedTypes="0" containsString="0" containsNumber="1" containsInteger="1" minValue="51340" maxValue="429205"/>
    </cacheField>
    <cacheField name="ÁFA (27%)" numFmtId="165">
      <sharedItems containsSemiMixedTypes="0" containsString="0" containsNumber="1" minValue="13861.800000000001" maxValue="115885.35"/>
    </cacheField>
    <cacheField name="Bruttó Összeg" numFmtId="165">
      <sharedItems containsSemiMixedTypes="0" containsString="0" containsNumber="1" minValue="65201.8" maxValue="545090.35"/>
    </cacheField>
    <cacheField name="Állapot" numFmtId="0">
      <sharedItems count="2">
        <s v="Nincs fizetve"/>
        <s v="Fizetve"/>
      </sharedItems>
    </cacheField>
    <cacheField name="Rendelő" numFmtId="0">
      <sharedItems count="142">
        <s v="Molnár Eszter"/>
        <s v="Kiss István"/>
        <s v="Németh Péter"/>
        <s v="Kiss László"/>
        <s v="Molnár Orsolya"/>
        <s v="Szabó Ádám"/>
        <s v="Németh Tamás"/>
        <s v="Nagy Bence"/>
        <s v="Nagy György"/>
        <s v="Nagy Csilla"/>
        <s v="Tóth Szabolcs"/>
        <s v="Farkas Zoltán"/>
        <s v="Tóth Hanna"/>
        <s v="Tóth Nóra"/>
        <s v="Farkas Márton"/>
        <s v="Tóth Júlia"/>
        <s v="Szabó Eszter"/>
        <s v="Kiss Dániel"/>
        <s v="Horváth Júlia"/>
        <s v="Molnár Hanna"/>
        <s v="Varga Márton"/>
        <s v="Szabó Hanna"/>
        <s v="Németh István"/>
        <s v="Nagy Zoltán"/>
        <s v="Németh Szabolcs"/>
        <s v="Tóth Eszter"/>
        <s v="Szabó Éva"/>
        <s v="Varga Viktória"/>
        <s v="Kovács Katalin"/>
        <s v="Szabó Zoltán"/>
        <s v="Molnár György"/>
        <s v="Horváth Tamás"/>
        <s v="Nagy Ádám"/>
        <s v="Nagy Tamás"/>
        <s v="Németh Eszter"/>
        <s v="Farkas Tamás"/>
        <s v="Horváth Péter"/>
        <s v="Kiss Tamás"/>
        <s v="Tóth Ádám"/>
        <s v="Tóth Dániel"/>
        <s v="Kiss Ferenc"/>
        <s v="Szabó Zsófia"/>
        <s v="Horváth László"/>
        <s v="Horváth Szabolcs"/>
        <s v="Nagy Orsolya"/>
        <s v="Farkas László"/>
        <s v="Varga Ferenc"/>
        <s v="Kiss Éva"/>
        <s v="Szabó Gábor"/>
        <s v="Szabó Bence"/>
        <s v="Horváth Hanna"/>
        <s v="Kiss Róbert"/>
        <s v="Nagy Dániel"/>
        <s v="Kovács Orsolya"/>
        <s v="Horváth Eszter"/>
        <s v="Molnár Ágnes"/>
        <s v="Molnár Róbert"/>
        <s v="Molnár Viktória"/>
        <s v="Horváth Orsolya"/>
        <s v="Varga Róbert"/>
        <s v="Tóth Ferenc"/>
        <s v="Kovács Ádám"/>
        <s v="Nagy Hanna"/>
        <s v="Kovács László"/>
        <s v="Molnár Nóra"/>
        <s v="Szabó István"/>
        <s v="Németh György"/>
        <s v="Kiss Gábor"/>
        <s v="Varga Szabolcs"/>
        <s v="Németh Ferenc"/>
        <s v="Németh Ágnes"/>
        <s v="Horváth Márton"/>
        <s v="Tóth Zsófia"/>
        <s v="Farkas Ádám"/>
        <s v="Kiss Csilla"/>
        <s v="Farkas Péter"/>
        <s v="Farkas Eszter"/>
        <s v="Szabó Szabolcs"/>
        <s v="Horváth Csilla"/>
        <s v="Szabó László"/>
        <s v="Kiss Hanna"/>
        <s v="Tóth Katalin"/>
        <s v="Molnár Tamás"/>
        <s v="Horváth Zoltán"/>
        <s v="Nagy Szabolcs"/>
        <s v="Kovács Nóra"/>
        <s v="Szabó Katalin"/>
        <s v="Kiss Eszter"/>
        <s v="Molnár Éva"/>
        <s v="Farkas Nóra"/>
        <s v="Horváth Ágnes"/>
        <s v="Németh Gábor"/>
        <s v="Kovács Zsófia"/>
        <s v="Molnár Szabolcs"/>
        <s v="Németh Éva"/>
        <s v="Kovács Dániel"/>
        <s v="Kovács Ágnes"/>
        <s v="Molnár Ádám"/>
        <s v="Németh Viktória"/>
        <s v="Szabó Ferenc"/>
        <s v="Kovács Bence"/>
        <s v="Tóth Viktória"/>
        <s v="Varga Gábor"/>
        <s v="Farkas Róbert"/>
        <s v="Szabó Róbert"/>
        <s v="Kiss Nóra"/>
        <s v="Németh Zoltán"/>
        <s v="Nagy István"/>
        <s v="Kovács Márton"/>
        <s v="Farkas Bence"/>
        <s v="Varga Nóra"/>
        <s v="Farkas Dániel"/>
        <s v="Molnár Zsófia"/>
        <s v="Farkas György"/>
        <s v="Németh Csilla"/>
        <s v="Varga Eszter"/>
        <s v="Farkas Viktória"/>
        <s v="Kiss Orsolya"/>
        <s v="Tóth Gábor"/>
        <s v="Nagy Nóra"/>
        <s v="Nagy Róbert"/>
        <s v="Németh Júlia"/>
        <s v="Horváth Nóra"/>
        <s v="Farkas Ferenc"/>
        <s v="Kovács Éva"/>
        <s v="Kovács Csilla"/>
        <s v="Varga Zoltán"/>
        <s v="Varga Orsolya"/>
        <s v="Nagy Katalin"/>
        <s v="Farkas Zsófia"/>
        <s v="Kovács Hanna"/>
        <s v="Tóth Tamás"/>
        <s v="Nagy Ágnes"/>
        <s v="Kiss Bence"/>
        <s v="Horváth György"/>
        <s v="Tóth Orsolya"/>
        <s v="Kovács Zoltán"/>
        <s v="Varga Csilla"/>
        <s v="Tóth István"/>
        <s v="Kovács István"/>
        <s v="Németh Katalin"/>
        <s v="Horváth Dániel"/>
      </sharedItems>
    </cacheField>
    <cacheField name="Profit" numFmtId="165">
      <sharedItems containsSemiMixedTypes="0" containsString="0" containsNumber="1" containsInteger="1" minValue="16904" maxValue="126705"/>
    </cacheField>
    <cacheField name="Profit %" numFmtId="10">
      <sharedItems containsSemiMixedTypes="0" containsString="0" containsNumber="1" minValue="0.28157005196508755" maxValue="0.34164394234515"/>
    </cacheField>
    <cacheField name="Markup" numFmtId="10">
      <sharedItems containsSemiMixedTypes="0" containsString="0" containsNumber="1" minValue="0.39192415730337077" maxValue="0.5189349112426036"/>
    </cacheField>
    <cacheField name="Márka" numFmtId="0">
      <sharedItems count="7">
        <s v="ASUS"/>
        <s v="Acer"/>
        <s v="Samsung"/>
        <s v="LG"/>
        <s v="Dell"/>
        <s v="HP"/>
        <s v="BenQ"/>
      </sharedItems>
    </cacheField>
    <cacheField name="Méret" numFmtId="0">
      <sharedItems count="3">
        <s v="32&quot;"/>
        <s v="27&quot;"/>
        <s v="24&quot;"/>
      </sharedItems>
    </cacheField>
  </cacheFields>
  <extLst>
    <ext xmlns:x14="http://schemas.microsoft.com/office/spreadsheetml/2009/9/main" uri="{725AE2AE-9491-48be-B2B4-4EB974FC3084}">
      <x14:pivotCacheDefinition pivotCacheId="147192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s v="ID001"/>
    <x v="0"/>
    <s v="eszter.molnar@gmail.com"/>
    <s v="+36 30 477 7681"/>
    <x v="0"/>
    <x v="0"/>
    <d v="2021-07-19T00:00:00"/>
    <n v="2"/>
    <n v="3"/>
    <x v="0"/>
    <n v="193932"/>
  </r>
  <r>
    <s v="ID002"/>
    <x v="1"/>
    <s v="istvan.kiss@gmail.com"/>
    <s v="+421 981 294 426"/>
    <x v="1"/>
    <x v="1"/>
    <d v="2023-11-08T00:00:00"/>
    <n v="3"/>
    <n v="7"/>
    <x v="1"/>
    <n v="593734"/>
  </r>
  <r>
    <s v="ID003"/>
    <x v="2"/>
    <s v="peter.nemeth@gmail.com"/>
    <s v="+36 70 864 7997"/>
    <x v="0"/>
    <x v="2"/>
    <d v="2020-09-27T00:00:00"/>
    <n v="3"/>
    <n v="5"/>
    <x v="1"/>
    <n v="384437"/>
  </r>
  <r>
    <s v="ID004"/>
    <x v="3"/>
    <s v="laszlo.kiss@freemail.hu"/>
    <s v="+40 783 356 689"/>
    <x v="2"/>
    <x v="3"/>
    <d v="2024-02-14T00:00:00"/>
    <n v="2"/>
    <n v="6"/>
    <x v="0"/>
    <n v="515872"/>
  </r>
  <r>
    <s v="ID005"/>
    <x v="4"/>
    <s v="orsolya.molnar@gmail.com"/>
    <s v="+36 70 443 3420"/>
    <x v="0"/>
    <x v="4"/>
    <d v="2022-05-03T00:00:00"/>
    <n v="1"/>
    <n v="2"/>
    <x v="2"/>
    <n v="124680"/>
  </r>
  <r>
    <s v="ID006"/>
    <x v="5"/>
    <s v="adam.szabo@gmail.com"/>
    <s v="+36 70 243 6444"/>
    <x v="0"/>
    <x v="5"/>
    <d v="2021-12-11T00:00:00"/>
    <n v="2"/>
    <n v="3"/>
    <x v="0"/>
    <n v="242253"/>
  </r>
  <r>
    <s v="ID007"/>
    <x v="6"/>
    <s v="tamas.nemeth@gmail.com"/>
    <s v="+36 30 996 7771"/>
    <x v="0"/>
    <x v="4"/>
    <d v="2025-01-22T00:00:00"/>
    <n v="1"/>
    <n v="1"/>
    <x v="2"/>
    <n v="52504"/>
  </r>
  <r>
    <s v="ID008"/>
    <x v="7"/>
    <s v="bence.nagy@gmail.com"/>
    <s v="+36 70 166 1341"/>
    <x v="0"/>
    <x v="5"/>
    <d v="2020-06-18T00:00:00"/>
    <n v="1"/>
    <n v="1"/>
    <x v="2"/>
    <n v="58708"/>
  </r>
  <r>
    <s v="ID009"/>
    <x v="8"/>
    <s v="gyorgy.nagy@yahoo.com"/>
    <s v="+36 70 798 8265"/>
    <x v="0"/>
    <x v="5"/>
    <d v="2023-03-09T00:00:00"/>
    <n v="1"/>
    <n v="1"/>
    <x v="2"/>
    <n v="74578"/>
  </r>
  <r>
    <s v="ID010"/>
    <x v="9"/>
    <s v="csilla.nagy@gmail.com"/>
    <s v="+36 20 880 5538"/>
    <x v="0"/>
    <x v="4"/>
    <d v="2024-08-30T00:00:00"/>
    <n v="3"/>
    <n v="6"/>
    <x v="1"/>
    <n v="543860"/>
  </r>
  <r>
    <s v="ID011"/>
    <x v="10"/>
    <s v="szabolcs.toth@gmail.com"/>
    <s v="+421 962 692 274"/>
    <x v="1"/>
    <x v="6"/>
    <d v="2021-04-25T00:00:00"/>
    <n v="1"/>
    <n v="1"/>
    <x v="2"/>
    <n v="63536"/>
  </r>
  <r>
    <s v="ID012"/>
    <x v="11"/>
    <s v="zoltan.farkas@outlook.com"/>
    <s v="+36 70 770 8111"/>
    <x v="0"/>
    <x v="7"/>
    <d v="2022-10-17T00:00:00"/>
    <n v="1"/>
    <n v="3"/>
    <x v="2"/>
    <n v="266838"/>
  </r>
  <r>
    <s v="ID013"/>
    <x v="12"/>
    <s v="hanna.toth@gmail.com"/>
    <s v="+36 20 135 2179"/>
    <x v="0"/>
    <x v="7"/>
    <d v="2020-11-06T00:00:00"/>
    <n v="2"/>
    <n v="5"/>
    <x v="0"/>
    <n v="304263"/>
  </r>
  <r>
    <s v="ID014"/>
    <x v="13"/>
    <s v="nora.toth@gmail.com"/>
    <s v="+36 70 625 5027"/>
    <x v="0"/>
    <x v="2"/>
    <d v="2025-06-12T00:00:00"/>
    <n v="2"/>
    <n v="2"/>
    <x v="0"/>
    <n v="178360"/>
  </r>
  <r>
    <s v="ID015"/>
    <x v="14"/>
    <s v="marton.farkas@gmail.com"/>
    <s v="+36 70 734 1489"/>
    <x v="0"/>
    <x v="2"/>
    <d v="2023-01-28T00:00:00"/>
    <n v="1"/>
    <n v="1"/>
    <x v="2"/>
    <n v="85841"/>
  </r>
  <r>
    <s v="ID016"/>
    <x v="15"/>
    <s v="julia.toth@gmail.com"/>
    <s v="+380 50 732 4819"/>
    <x v="3"/>
    <x v="8"/>
    <d v="2024-04-05T00:00:00"/>
    <n v="1"/>
    <n v="4"/>
    <x v="2"/>
    <n v="323004"/>
  </r>
  <r>
    <s v="ID017"/>
    <x v="16"/>
    <s v="eszter.szabo@gmail.com"/>
    <s v="+36 20 661 7194"/>
    <x v="0"/>
    <x v="5"/>
    <d v="2021-09-14T00:00:00"/>
    <n v="1"/>
    <n v="1"/>
    <x v="2"/>
    <n v="88127"/>
  </r>
  <r>
    <s v="ID018"/>
    <x v="17"/>
    <s v="daniel.kiss@gmail.com"/>
    <s v="+36 20 619 8767"/>
    <x v="0"/>
    <x v="5"/>
    <d v="2022-07-21T00:00:00"/>
    <n v="2"/>
    <n v="7"/>
    <x v="0"/>
    <n v="509187"/>
  </r>
  <r>
    <s v="ID019"/>
    <x v="18"/>
    <s v="julia.horvath@gmail.com"/>
    <s v="+36 20 978 3446"/>
    <x v="0"/>
    <x v="2"/>
    <d v="2025-03-01T00:00:00"/>
    <n v="1"/>
    <n v="1"/>
    <x v="2"/>
    <n v="64014"/>
  </r>
  <r>
    <s v="ID020"/>
    <x v="19"/>
    <s v="hanna.molnar@gmail.com"/>
    <s v="+36 20 910 3535"/>
    <x v="0"/>
    <x v="9"/>
    <d v="2020-12-09T00:00:00"/>
    <n v="2"/>
    <n v="5"/>
    <x v="0"/>
    <n v="375508"/>
  </r>
  <r>
    <s v="ID021"/>
    <x v="20"/>
    <s v="marton.varga@gmail.com"/>
    <s v="+36 20 789 8068"/>
    <x v="0"/>
    <x v="5"/>
    <d v="2023-06-26T00:00:00"/>
    <n v="2"/>
    <n v="5"/>
    <x v="0"/>
    <n v="479571"/>
  </r>
  <r>
    <s v="ID022"/>
    <x v="21"/>
    <s v="hanna.szabo@gmail.com"/>
    <s v="+421 936 593 925"/>
    <x v="1"/>
    <x v="10"/>
    <d v="2024-01-13T00:00:00"/>
    <n v="2"/>
    <n v="7"/>
    <x v="0"/>
    <n v="588051"/>
  </r>
  <r>
    <s v="ID023"/>
    <x v="22"/>
    <s v="istvan.nemeth@gmail.com"/>
    <s v="+36 20 783 1366"/>
    <x v="0"/>
    <x v="0"/>
    <d v="2021-10-02T00:00:00"/>
    <n v="2"/>
    <n v="3"/>
    <x v="0"/>
    <n v="291425"/>
  </r>
  <r>
    <s v="ID024"/>
    <x v="23"/>
    <s v="zoltan.nagy@gmail.com"/>
    <s v="+36 30 626 4877"/>
    <x v="0"/>
    <x v="7"/>
    <d v="2022-03-15T00:00:00"/>
    <n v="1"/>
    <n v="3"/>
    <x v="2"/>
    <n v="213888"/>
  </r>
  <r>
    <s v="ID025"/>
    <x v="24"/>
    <s v="szabolcs.nemeth@gmail.com"/>
    <s v="+36 30 782 9691"/>
    <x v="0"/>
    <x v="9"/>
    <d v="2025-09-18T00:00:00"/>
    <n v="1"/>
    <n v="4"/>
    <x v="2"/>
    <n v="342924"/>
  </r>
  <r>
    <s v="ID026"/>
    <x v="25"/>
    <s v="eszter.toth@gmail.com"/>
    <s v="+40 733 884 491"/>
    <x v="2"/>
    <x v="3"/>
    <d v="2020-08-07T00:00:00"/>
    <n v="2"/>
    <n v="4"/>
    <x v="0"/>
    <n v="234771"/>
  </r>
  <r>
    <s v="ID027"/>
    <x v="26"/>
    <s v="eva.szabo@citromail.hu"/>
    <s v="+36 30 150 7264"/>
    <x v="0"/>
    <x v="0"/>
    <d v="2023-12-24T00:00:00"/>
    <n v="1"/>
    <n v="3"/>
    <x v="2"/>
    <n v="187020"/>
  </r>
  <r>
    <s v="ID028"/>
    <x v="27"/>
    <s v="viktoria.varga@gmail.com"/>
    <s v="+36 30 785 8843"/>
    <x v="0"/>
    <x v="5"/>
    <d v="2024-05-11T00:00:00"/>
    <n v="3"/>
    <n v="4"/>
    <x v="1"/>
    <n v="328223"/>
  </r>
  <r>
    <s v="ID029"/>
    <x v="28"/>
    <s v="katalin.kovacs@gmail.com"/>
    <s v="+381 69 123 4890"/>
    <x v="4"/>
    <x v="11"/>
    <d v="2021-01-30T00:00:00"/>
    <n v="2"/>
    <n v="8"/>
    <x v="0"/>
    <n v="466072"/>
  </r>
  <r>
    <s v="ID030"/>
    <x v="29"/>
    <s v="zoltan.szabo@gmail.com"/>
    <s v="+36 70 795 7201"/>
    <x v="0"/>
    <x v="9"/>
    <d v="2022-09-19T00:00:00"/>
    <n v="1"/>
    <n v="4"/>
    <x v="2"/>
    <n v="210016"/>
  </r>
  <r>
    <s v="ID031"/>
    <x v="30"/>
    <s v="gyorgy.molnar@gmail.com"/>
    <s v="+36 20 515 9171"/>
    <x v="0"/>
    <x v="0"/>
    <d v="2025-07-04T00:00:00"/>
    <n v="1"/>
    <n v="4"/>
    <x v="2"/>
    <n v="345896"/>
  </r>
  <r>
    <s v="ID032"/>
    <x v="31"/>
    <s v="tamas.horvath@gmail.com"/>
    <s v="+36 70 724 9430"/>
    <x v="0"/>
    <x v="0"/>
    <d v="2020-04-21T00:00:00"/>
    <n v="1"/>
    <n v="1"/>
    <x v="2"/>
    <n v="63536"/>
  </r>
  <r>
    <s v="ID033"/>
    <x v="32"/>
    <s v="adam.nagy@gmail.com"/>
    <s v="+36 70 246 8153"/>
    <x v="0"/>
    <x v="0"/>
    <d v="2023-08-16T00:00:00"/>
    <n v="2"/>
    <n v="4"/>
    <x v="0"/>
    <n v="272793"/>
  </r>
  <r>
    <s v="ID034"/>
    <x v="33"/>
    <s v="tamas.nagy@gmail.com"/>
    <s v="+36 20 742 4636"/>
    <x v="0"/>
    <x v="7"/>
    <d v="2024-11-27T00:00:00"/>
    <n v="1"/>
    <n v="3"/>
    <x v="2"/>
    <n v="223734"/>
  </r>
  <r>
    <s v="ID035"/>
    <x v="34"/>
    <s v="eszter.nemeth@gmail.com"/>
    <s v="+43 651 190 5567"/>
    <x v="5"/>
    <x v="12"/>
    <d v="2021-06-05T00:00:00"/>
    <n v="3"/>
    <n v="6"/>
    <x v="1"/>
    <n v="516002"/>
  </r>
  <r>
    <s v="ID036"/>
    <x v="35"/>
    <s v="tamas.farkas@gmail.com"/>
    <s v="+36 30 348 6391"/>
    <x v="0"/>
    <x v="4"/>
    <d v="2022-01-12T00:00:00"/>
    <n v="1"/>
    <n v="4"/>
    <x v="2"/>
    <n v="378896"/>
  </r>
  <r>
    <s v="ID037"/>
    <x v="36"/>
    <s v="peter.horvath@gmail.com"/>
    <s v="+36 70 171 1687"/>
    <x v="0"/>
    <x v="4"/>
    <d v="2025-02-23T00:00:00"/>
    <n v="2"/>
    <n v="5"/>
    <x v="0"/>
    <n v="428340"/>
  </r>
  <r>
    <s v="ID038"/>
    <x v="37"/>
    <s v="tamas.kiss@gmail.com"/>
    <s v="+36 30 865 7033"/>
    <x v="0"/>
    <x v="4"/>
    <d v="2020-10-31T00:00:00"/>
    <n v="1"/>
    <n v="2"/>
    <x v="2"/>
    <n v="188494"/>
  </r>
  <r>
    <s v="ID039"/>
    <x v="38"/>
    <s v="adam.toth@gmail.com"/>
    <s v="+386 70 123 890"/>
    <x v="6"/>
    <x v="13"/>
    <d v="2023-04-08T00:00:00"/>
    <n v="3"/>
    <n v="8"/>
    <x v="1"/>
    <n v="729973"/>
  </r>
  <r>
    <s v="ID040"/>
    <x v="39"/>
    <s v="daniel.toth@gmail.com"/>
    <s v="+36 30 908 5957"/>
    <x v="0"/>
    <x v="4"/>
    <d v="2024-06-29T00:00:00"/>
    <n v="1"/>
    <n v="2"/>
    <x v="2"/>
    <n v="128028"/>
  </r>
  <r>
    <s v="ID041"/>
    <x v="40"/>
    <s v="ferenc.kiss@gmail.com"/>
    <s v="+36 30 663 7840"/>
    <x v="0"/>
    <x v="9"/>
    <d v="2021-03-17T00:00:00"/>
    <n v="1"/>
    <n v="2"/>
    <x v="2"/>
    <n v="171682"/>
  </r>
  <r>
    <s v="ID042"/>
    <x v="41"/>
    <s v="zsofia.szabo@gmail.com"/>
    <s v="+36 30 913 7007"/>
    <x v="0"/>
    <x v="4"/>
    <d v="2022-08-25T00:00:00"/>
    <n v="1"/>
    <n v="1"/>
    <x v="2"/>
    <n v="58708"/>
  </r>
  <r>
    <s v="ID043"/>
    <x v="42"/>
    <s v="laszlo.horvath@freemail.hu"/>
    <s v="+36 30 393 9404"/>
    <x v="0"/>
    <x v="7"/>
    <d v="2025-05-14T00:00:00"/>
    <n v="1"/>
    <n v="5"/>
    <x v="2"/>
    <n v="403755"/>
  </r>
  <r>
    <s v="ID044"/>
    <x v="43"/>
    <s v="szabolcs.horvath@gmail.com"/>
    <s v="+40 704 293 351"/>
    <x v="2"/>
    <x v="3"/>
    <d v="2020-07-02T00:00:00"/>
    <n v="2"/>
    <n v="2"/>
    <x v="0"/>
    <n v="185131"/>
  </r>
  <r>
    <s v="ID045"/>
    <x v="44"/>
    <s v="orsolya.nagy@gmail.com"/>
    <s v="+36 30 556 1892"/>
    <x v="0"/>
    <x v="2"/>
    <d v="2023-10-10T00:00:00"/>
    <n v="1"/>
    <n v="2"/>
    <x v="2"/>
    <n v="105008"/>
  </r>
  <r>
    <s v="ID046"/>
    <x v="45"/>
    <s v="laszlo.farkas@gmail.com"/>
    <s v="+385 91 234 5678 "/>
    <x v="7"/>
    <x v="14"/>
    <d v="2024-03-06T00:00:00"/>
    <n v="2"/>
    <n v="7"/>
    <x v="0"/>
    <n v="501663"/>
  </r>
  <r>
    <s v="ID047"/>
    <x v="46"/>
    <s v="ferenc.varga@gmail.com"/>
    <s v="+36 70 372 8271"/>
    <x v="0"/>
    <x v="9"/>
    <d v="2021-11-29T00:00:00"/>
    <n v="1"/>
    <n v="3"/>
    <x v="2"/>
    <n v="293583"/>
  </r>
  <r>
    <s v="ID048"/>
    <x v="47"/>
    <s v="eva.kiss@yahoo.com"/>
    <s v="+36 30 261 4747"/>
    <x v="0"/>
    <x v="4"/>
    <d v="2022-06-13T00:00:00"/>
    <n v="2"/>
    <n v="6"/>
    <x v="0"/>
    <n v="473310"/>
  </r>
  <r>
    <s v="ID049"/>
    <x v="48"/>
    <s v="gabor.szabo@gmail.com"/>
    <s v="+36 20 608 6275"/>
    <x v="0"/>
    <x v="0"/>
    <d v="2025-08-20T00:00:00"/>
    <n v="1"/>
    <n v="1"/>
    <x v="2"/>
    <n v="85731"/>
  </r>
  <r>
    <s v="ID050"/>
    <x v="49"/>
    <s v="bence.szabo@gmail.com"/>
    <s v="+36 70 967 1336"/>
    <x v="0"/>
    <x v="2"/>
    <d v="2020-05-09T00:00:00"/>
    <n v="1"/>
    <n v="3"/>
    <x v="2"/>
    <n v="154020"/>
  </r>
  <r>
    <s v="ID051"/>
    <x v="50"/>
    <s v="hanna.horvath@gmail.com"/>
    <s v="+380 68 223 9051"/>
    <x v="3"/>
    <x v="15"/>
    <d v="2023-02-18T00:00:00"/>
    <n v="1"/>
    <n v="1"/>
    <x v="2"/>
    <n v="86474"/>
  </r>
  <r>
    <s v="ID052"/>
    <x v="51"/>
    <s v="robert.kiss@gmail.com"/>
    <s v="+36 70 556 7183"/>
    <x v="0"/>
    <x v="2"/>
    <d v="2024-09-07T00:00:00"/>
    <n v="1"/>
    <n v="5"/>
    <x v="2"/>
    <n v="311700"/>
  </r>
  <r>
    <s v="ID053"/>
    <x v="52"/>
    <s v="daniel.nagy@gmail.com"/>
    <s v="+36 70 233 9575"/>
    <x v="0"/>
    <x v="5"/>
    <d v="2021-08-24T00:00:00"/>
    <n v="1"/>
    <n v="4"/>
    <x v="2"/>
    <n v="210016"/>
  </r>
  <r>
    <s v="ID054"/>
    <x v="53"/>
    <s v="orsolya.kovacs@gmail.com"/>
    <s v="+36 20 884 9450"/>
    <x v="0"/>
    <x v="9"/>
    <d v="2022-12-30T00:00:00"/>
    <n v="1"/>
    <n v="2"/>
    <x v="2"/>
    <n v="189448"/>
  </r>
  <r>
    <s v="ID055"/>
    <x v="54"/>
    <s v="eszter.horvath@gmail.com"/>
    <s v="+36 70 662 8483"/>
    <x v="0"/>
    <x v="5"/>
    <d v="2025-04-11T00:00:00"/>
    <n v="1"/>
    <n v="1"/>
    <x v="2"/>
    <n v="80751"/>
  </r>
  <r>
    <s v="ID056"/>
    <x v="55"/>
    <s v="agnes.molnar@gmail.com"/>
    <s v="+36 30 848 3528"/>
    <x v="0"/>
    <x v="9"/>
    <d v="2020-03-14T00:00:00"/>
    <n v="1"/>
    <n v="1"/>
    <x v="2"/>
    <n v="74578"/>
  </r>
  <r>
    <s v="ID057"/>
    <x v="56"/>
    <s v="robert.molnar@gmail.com"/>
    <s v="+385 99 333 4445"/>
    <x v="7"/>
    <x v="16"/>
    <d v="2023-07-05T00:00:00"/>
    <n v="3"/>
    <n v="3"/>
    <x v="1"/>
    <n v="221827"/>
  </r>
  <r>
    <s v="ID058"/>
    <x v="57"/>
    <s v="viktoria.molnar@gmail.com"/>
    <s v="+381 64 123 4567"/>
    <x v="4"/>
    <x v="17"/>
    <d v="2024-10-16T00:00:00"/>
    <n v="2"/>
    <n v="6"/>
    <x v="0"/>
    <n v="524238"/>
  </r>
  <r>
    <s v="ID059"/>
    <x v="58"/>
    <s v="orsolya.horvath@gmail.com"/>
    <s v="+36 20 789 6547"/>
    <x v="0"/>
    <x v="4"/>
    <d v="2021-02-22T00:00:00"/>
    <n v="2"/>
    <n v="5"/>
    <x v="0"/>
    <n v="306648"/>
  </r>
  <r>
    <s v="ID060"/>
    <x v="59"/>
    <s v="robert.varga@gmail.com"/>
    <s v="+36 20 948 9530"/>
    <x v="0"/>
    <x v="4"/>
    <d v="2022-11-03T00:00:00"/>
    <n v="2"/>
    <n v="2"/>
    <x v="0"/>
    <n v="188971"/>
  </r>
  <r>
    <s v="ID061"/>
    <x v="60"/>
    <s v="ferenc.toth@gmail.com"/>
    <s v="+36 30 909 2861"/>
    <x v="0"/>
    <x v="0"/>
    <d v="2025-10-28T00:00:00"/>
    <n v="1"/>
    <n v="3"/>
    <x v="2"/>
    <n v="266838"/>
  </r>
  <r>
    <s v="ID062"/>
    <x v="61"/>
    <s v="adam.kovacs@gmail.com"/>
    <s v="+36 70 117 6338"/>
    <x v="0"/>
    <x v="7"/>
    <d v="2020-09-01T00:00:00"/>
    <n v="1"/>
    <n v="5"/>
    <x v="2"/>
    <n v="429205"/>
  </r>
  <r>
    <s v="ID063"/>
    <x v="62"/>
    <s v="hanna.nagy@gmail.com"/>
    <s v="+36 30 244 8078"/>
    <x v="0"/>
    <x v="2"/>
    <d v="2023-05-20T00:00:00"/>
    <n v="2"/>
    <n v="5"/>
    <x v="0"/>
    <n v="426549"/>
  </r>
  <r>
    <s v="ID064"/>
    <x v="63"/>
    <s v="laszlo.kovacs@gmail.com"/>
    <s v="+36 70 564 5133"/>
    <x v="0"/>
    <x v="7"/>
    <d v="2024-12-08T00:00:00"/>
    <n v="1"/>
    <n v="3"/>
    <x v="2"/>
    <n v="264381"/>
  </r>
  <r>
    <s v="ID065"/>
    <x v="64"/>
    <s v="nora.molnar@gmail.com"/>
    <s v="'+380 73 556 1184"/>
    <x v="3"/>
    <x v="18"/>
    <d v="2021-07-27T00:00:00"/>
    <n v="3"/>
    <n v="9"/>
    <x v="1"/>
    <n v="675036"/>
  </r>
  <r>
    <s v="ID066"/>
    <x v="65"/>
    <s v="istvan.szabo@gmail.com"/>
    <s v="+36 20 625 3361"/>
    <x v="0"/>
    <x v="5"/>
    <d v="2022-04-14T00:00:00"/>
    <n v="1"/>
    <n v="2"/>
    <x v="2"/>
    <n v="122070"/>
  </r>
  <r>
    <s v="ID067"/>
    <x v="66"/>
    <s v="gyorgy.nemeth@gmail.com"/>
    <s v="+36 20 409 3312"/>
    <x v="0"/>
    <x v="5"/>
    <d v="2020-06-30T00:00:00"/>
    <n v="1"/>
    <n v="1"/>
    <x v="2"/>
    <n v="96782"/>
  </r>
  <r>
    <s v="ID068"/>
    <x v="67"/>
    <s v="gabor.kiss@gmail.com"/>
    <s v="+36 30 121 7666"/>
    <x v="0"/>
    <x v="7"/>
    <d v="2023-09-12T00:00:00"/>
    <n v="1"/>
    <n v="4"/>
    <x v="2"/>
    <n v="210016"/>
  </r>
  <r>
    <s v="ID069"/>
    <x v="68"/>
    <s v="szabolcs.varga@gmail.com"/>
    <s v="+36 20 172 9303"/>
    <x v="0"/>
    <x v="0"/>
    <d v="2024-07-01T00:00:00"/>
    <n v="1"/>
    <n v="3"/>
    <x v="2"/>
    <n v="213888"/>
  </r>
  <r>
    <s v="ID070"/>
    <x v="69"/>
    <s v="ferenc.nemeth@gmail.com"/>
    <s v="+36 30 312 7544"/>
    <x v="0"/>
    <x v="2"/>
    <d v="2021-12-19T00:00:00"/>
    <n v="1"/>
    <n v="1"/>
    <x v="2"/>
    <n v="51340"/>
  </r>
  <r>
    <s v="ID071"/>
    <x v="70"/>
    <s v="agnes.nemeth@gmail.com"/>
    <s v="+36 70 340 9021"/>
    <x v="0"/>
    <x v="5"/>
    <d v="2022-02-07T00:00:00"/>
    <n v="1"/>
    <n v="2"/>
    <x v="2"/>
    <n v="124680"/>
  </r>
  <r>
    <s v="ID072"/>
    <x v="71"/>
    <s v="marton.horvath@gmail.com"/>
    <s v="+36 20 890 1468"/>
    <x v="0"/>
    <x v="0"/>
    <d v="2025-11-15T00:00:00"/>
    <n v="1"/>
    <n v="3"/>
    <x v="2"/>
    <n v="223734"/>
  </r>
  <r>
    <s v="ID073"/>
    <x v="72"/>
    <s v="zsofia.toth@gmail.com"/>
    <s v="+36 70 577 1088"/>
    <x v="0"/>
    <x v="5"/>
    <d v="2020-08-28T00:00:00"/>
    <n v="1"/>
    <n v="1"/>
    <x v="2"/>
    <n v="80499"/>
  </r>
  <r>
    <s v="ID074"/>
    <x v="73"/>
    <s v="adam.farkas@gmail.com"/>
    <s v="+36 20 880 3801"/>
    <x v="0"/>
    <x v="7"/>
    <d v="2023-01-09T00:00:00"/>
    <n v="1"/>
    <n v="2"/>
    <x v="2"/>
    <n v="198210"/>
  </r>
  <r>
    <s v="ID075"/>
    <x v="74"/>
    <s v="csilla.kiss@gmail.com"/>
    <s v="+36 20 352 9636"/>
    <x v="0"/>
    <x v="4"/>
    <d v="2024-04-18T00:00:00"/>
    <n v="2"/>
    <n v="5"/>
    <x v="0"/>
    <n v="307676"/>
  </r>
  <r>
    <s v="ID076"/>
    <x v="75"/>
    <s v="peter.farkas@gmail.com"/>
    <s v="+43 662 994 2127"/>
    <x v="5"/>
    <x v="19"/>
    <d v="2021-10-23T00:00:00"/>
    <n v="2"/>
    <n v="5"/>
    <x v="0"/>
    <n v="460633"/>
  </r>
  <r>
    <s v="ID077"/>
    <x v="76"/>
    <s v="eszter.farkas@gmail.com"/>
    <s v="+36 30 241 9129"/>
    <x v="0"/>
    <x v="4"/>
    <d v="2022-07-10T00:00:00"/>
    <n v="1"/>
    <n v="4"/>
    <x v="2"/>
    <n v="376988"/>
  </r>
  <r>
    <s v="ID078"/>
    <x v="77"/>
    <s v="szabolcs.szabo@gmail.com"/>
    <s v="+36 70 691 7172"/>
    <x v="0"/>
    <x v="4"/>
    <d v="2025-03-29T00:00:00"/>
    <n v="1"/>
    <n v="3"/>
    <x v="2"/>
    <n v="176124"/>
  </r>
  <r>
    <s v="ID079"/>
    <x v="78"/>
    <s v="csilla.horvath@gmail.com"/>
    <s v="+36 30 193 5473"/>
    <x v="0"/>
    <x v="5"/>
    <d v="2020-11-17T00:00:00"/>
    <n v="1"/>
    <n v="1"/>
    <x v="2"/>
    <n v="64014"/>
  </r>
  <r>
    <s v="ID080"/>
    <x v="79"/>
    <s v="laszlo.szabo@outlook.com"/>
    <s v="+36 30 382 4730"/>
    <x v="0"/>
    <x v="4"/>
    <d v="2023-12-03T00:00:00"/>
    <n v="1"/>
    <n v="2"/>
    <x v="2"/>
    <n v="176698"/>
  </r>
  <r>
    <s v="ID081"/>
    <x v="80"/>
    <s v="hanna.kiss@gmail.com"/>
    <s v="+36 20 669 1055"/>
    <x v="0"/>
    <x v="4"/>
    <d v="2024-01-25T00:00:00"/>
    <n v="1"/>
    <n v="3"/>
    <x v="2"/>
    <n v="293583"/>
  </r>
  <r>
    <s v="ID082"/>
    <x v="81"/>
    <s v="katalin.toth@gmail.com"/>
    <s v="+36 30 970 3859"/>
    <x v="0"/>
    <x v="0"/>
    <d v="2021-09-09T00:00:00"/>
    <n v="1"/>
    <n v="1"/>
    <x v="2"/>
    <n v="52504"/>
  </r>
  <r>
    <s v="ID083"/>
    <x v="82"/>
    <s v="tamas.molnar@gmail.com"/>
    <s v="+36 30 965 1985"/>
    <x v="0"/>
    <x v="2"/>
    <d v="2022-05-27T00:00:00"/>
    <n v="1"/>
    <n v="4"/>
    <x v="2"/>
    <n v="342924"/>
  </r>
  <r>
    <s v="ID084"/>
    <x v="83"/>
    <s v="zoltan.horvath@gmail.com"/>
    <s v="+36 70 725 6207"/>
    <x v="0"/>
    <x v="0"/>
    <d v="2025-06-30T00:00:00"/>
    <n v="1"/>
    <n v="3"/>
    <x v="2"/>
    <n v="154020"/>
  </r>
  <r>
    <s v="ID085"/>
    <x v="84"/>
    <s v="szabolcs.nagy@gmail.com"/>
    <s v="+36 30 106 6548"/>
    <x v="0"/>
    <x v="9"/>
    <d v="2020-07-14T00:00:00"/>
    <n v="1"/>
    <n v="2"/>
    <x v="2"/>
    <n v="124680"/>
  </r>
  <r>
    <s v="ID086"/>
    <x v="85"/>
    <s v="nora.kovacs@gmail.com"/>
    <s v="+36 30 970 5722"/>
    <x v="0"/>
    <x v="5"/>
    <d v="2023-03-31T00:00:00"/>
    <n v="2"/>
    <n v="4"/>
    <x v="0"/>
    <n v="311926"/>
  </r>
  <r>
    <s v="ID087"/>
    <x v="86"/>
    <s v="katalin.szabo@gmail.com"/>
    <s v="+386 41 234 567"/>
    <x v="6"/>
    <x v="20"/>
    <d v="2024-10-02T00:00:00"/>
    <n v="1"/>
    <n v="3"/>
    <x v="2"/>
    <n v="192042"/>
  </r>
  <r>
    <s v="ID088"/>
    <x v="87"/>
    <s v="eszter.kiss@gmail.com"/>
    <s v="+36 70 794 4573"/>
    <x v="0"/>
    <x v="0"/>
    <d v="2021-11-04T00:00:00"/>
    <n v="1"/>
    <n v="1"/>
    <x v="2"/>
    <n v="80751"/>
  </r>
  <r>
    <s v="ID089"/>
    <x v="88"/>
    <s v="eva.molnar@gmail.com"/>
    <s v="+385 91 241 1638 "/>
    <x v="7"/>
    <x v="16"/>
    <d v="2022-08-11T00:00:00"/>
    <n v="1"/>
    <n v="1"/>
    <x v="2"/>
    <n v="74578"/>
  </r>
  <r>
    <s v="ID090"/>
    <x v="89"/>
    <s v="nora.farkas@gmail.com"/>
    <s v="+36 70 978 5069"/>
    <x v="0"/>
    <x v="5"/>
    <d v="2025-01-07T00:00:00"/>
    <n v="1"/>
    <n v="1"/>
    <x v="2"/>
    <n v="80499"/>
  </r>
  <r>
    <s v="ID091"/>
    <x v="90"/>
    <s v="agnes.horvath@gmail.com"/>
    <s v="+381 69 143 7324"/>
    <x v="4"/>
    <x v="11"/>
    <d v="2020-05-26T00:00:00"/>
    <n v="1"/>
    <n v="3"/>
    <x v="2"/>
    <n v="190608"/>
  </r>
  <r>
    <s v="ID092"/>
    <x v="91"/>
    <s v="gabor.nemeth@gmail.com"/>
    <s v="+36 30 110 3955"/>
    <x v="0"/>
    <x v="5"/>
    <d v="2023-09-25T00:00:00"/>
    <n v="1"/>
    <n v="1"/>
    <x v="2"/>
    <n v="88946"/>
  </r>
  <r>
    <s v="ID093"/>
    <x v="92"/>
    <s v="zsofia.kovacs@gmail.com"/>
    <s v="+36 30 806 4530"/>
    <x v="0"/>
    <x v="4"/>
    <d v="2021-03-03T00:00:00"/>
    <n v="1"/>
    <n v="3"/>
    <x v="2"/>
    <n v="257523"/>
  </r>
  <r>
    <s v="ID094"/>
    <x v="93"/>
    <s v="szabolcs.molnar@gmail.com"/>
    <s v="+36 70 858 8359"/>
    <x v="0"/>
    <x v="0"/>
    <d v="2022-12-18T00:00:00"/>
    <n v="1"/>
    <n v="1"/>
    <x v="2"/>
    <n v="58708"/>
  </r>
  <r>
    <s v="ID095"/>
    <x v="94"/>
    <s v="eva.nemeth@gmail.com"/>
    <s v="+36 20 839 4922"/>
    <x v="0"/>
    <x v="5"/>
    <d v="2025-07-26T00:00:00"/>
    <n v="1"/>
    <n v="4"/>
    <x v="2"/>
    <n v="352508"/>
  </r>
  <r>
    <s v="ID096"/>
    <x v="95"/>
    <s v="daniel.kovacs@gmail.com"/>
    <s v="+385 91 214 1124 "/>
    <x v="7"/>
    <x v="21"/>
    <d v="2020-06-11T00:00:00"/>
    <n v="1"/>
    <n v="2"/>
    <x v="2"/>
    <n v="128028"/>
  </r>
  <r>
    <s v="ID097"/>
    <x v="96"/>
    <s v="agnes.kovacs@gmail.com"/>
    <s v="+36 30 741 9450"/>
    <x v="0"/>
    <x v="5"/>
    <d v="2023-08-02T00:00:00"/>
    <n v="1"/>
    <n v="1"/>
    <x v="2"/>
    <n v="88349"/>
  </r>
  <r>
    <s v="ID098"/>
    <x v="97"/>
    <s v="adam.molnar@gmail.com"/>
    <s v="+36 70 347 3796"/>
    <x v="0"/>
    <x v="7"/>
    <d v="2024-11-19T00:00:00"/>
    <n v="1"/>
    <n v="3"/>
    <x v="2"/>
    <n v="290346"/>
  </r>
  <r>
    <s v="ID099"/>
    <x v="98"/>
    <s v="viktoria.nemeth@gmail.com"/>
    <s v="+381 69 313 4894"/>
    <x v="4"/>
    <x v="17"/>
    <d v="2021-04-30T00:00:00"/>
    <n v="1"/>
    <n v="1"/>
    <x v="2"/>
    <n v="52504"/>
  </r>
  <r>
    <s v="ID100"/>
    <x v="99"/>
    <s v="ferenc.szabo@gmail.com"/>
    <s v="+36 20 461 6922"/>
    <x v="0"/>
    <x v="9"/>
    <d v="2022-09-06T00:00:00"/>
    <n v="2"/>
    <n v="4"/>
    <x v="0"/>
    <n v="328819"/>
  </r>
  <r>
    <s v="ID101"/>
    <x v="100"/>
    <s v="bence.kovacs@gmail.com"/>
    <s v="+386 41 221 45"/>
    <x v="6"/>
    <x v="20"/>
    <d v="2025-02-10T00:00:00"/>
    <n v="2"/>
    <n v="2"/>
    <x v="0"/>
    <n v="172205"/>
  </r>
  <r>
    <s v="ID102"/>
    <x v="101"/>
    <s v="viktoria.toth@gmail.com"/>
    <s v="+36 20 794 4197"/>
    <x v="0"/>
    <x v="5"/>
    <d v="2020-10-14T00:00:00"/>
    <n v="1"/>
    <n v="4"/>
    <x v="2"/>
    <n v="205360"/>
  </r>
  <r>
    <s v="ID103"/>
    <x v="102"/>
    <s v="gabor.varga@gmail.com"/>
    <s v="+40 705 364 675"/>
    <x v="2"/>
    <x v="3"/>
    <d v="2023-06-07T00:00:00"/>
    <n v="1"/>
    <n v="4"/>
    <x v="2"/>
    <n v="249360"/>
  </r>
  <r>
    <s v="ID104"/>
    <x v="103"/>
    <s v="robert.farkas@gmail.com"/>
    <s v="+36 30 397 5307"/>
    <x v="0"/>
    <x v="9"/>
    <d v="2024-03-28T00:00:00"/>
    <n v="1"/>
    <n v="3"/>
    <x v="2"/>
    <n v="192042"/>
  </r>
  <r>
    <s v="ID105"/>
    <x v="104"/>
    <s v="robert.szabo@gmail.com"/>
    <s v="+36 70 988 8276"/>
    <x v="0"/>
    <x v="0"/>
    <d v="2021-12-01T00:00:00"/>
    <n v="1"/>
    <n v="1"/>
    <x v="2"/>
    <n v="52504"/>
  </r>
  <r>
    <s v="ID106"/>
    <x v="105"/>
    <s v="nora.kiss@gmail.com"/>
    <s v="+36 70 575 9169"/>
    <x v="0"/>
    <x v="4"/>
    <d v="2022-06-22T00:00:00"/>
    <n v="1"/>
    <n v="2"/>
    <x v="2"/>
    <n v="189448"/>
  </r>
  <r>
    <s v="ID107"/>
    <x v="106"/>
    <s v="zoltan.nemeth@gmail.com"/>
    <s v="+36 70 754 2638"/>
    <x v="0"/>
    <x v="4"/>
    <d v="2025-05-09T00:00:00"/>
    <n v="1"/>
    <n v="1"/>
    <x v="2"/>
    <n v="74578"/>
  </r>
  <r>
    <s v="ID108"/>
    <x v="107"/>
    <s v="istvan.nagy@gmail.com"/>
    <s v="+36 30 817 6541"/>
    <x v="0"/>
    <x v="4"/>
    <d v="2020-04-06T00:00:00"/>
    <n v="1"/>
    <n v="1"/>
    <x v="2"/>
    <n v="99105"/>
  </r>
  <r>
    <s v="ID109"/>
    <x v="108"/>
    <s v="marton.kovacs@gmail.com"/>
    <s v="+36 70 411 2491"/>
    <x v="0"/>
    <x v="9"/>
    <d v="2023-10-29T00:00:00"/>
    <n v="1"/>
    <n v="1"/>
    <x v="2"/>
    <n v="63536"/>
  </r>
  <r>
    <s v="ID110"/>
    <x v="109"/>
    <s v="bence.farkas@gmail.com"/>
    <s v="+36 70 651 5620"/>
    <x v="0"/>
    <x v="2"/>
    <d v="2024-07-13T00:00:00"/>
    <n v="1"/>
    <n v="2"/>
    <x v="2"/>
    <n v="177892"/>
  </r>
  <r>
    <s v="ID111"/>
    <x v="110"/>
    <s v="nora.varga@gmail.com"/>
    <s v="+36 30 427 2093"/>
    <x v="0"/>
    <x v="5"/>
    <d v="2021-01-18T00:00:00"/>
    <n v="1"/>
    <n v="1"/>
    <x v="2"/>
    <n v="94247"/>
  </r>
  <r>
    <s v="ID112"/>
    <x v="111"/>
    <s v="daniel.farkas@gmail.com"/>
    <s v="+36 20 749 7315"/>
    <x v="0"/>
    <x v="2"/>
    <d v="2022-11-26T00:00:00"/>
    <n v="1"/>
    <n v="2"/>
    <x v="2"/>
    <n v="117416"/>
  </r>
  <r>
    <s v="ID113"/>
    <x v="112"/>
    <s v="zsofia.molnar@gmail.com"/>
    <s v="+36 20 586 4041"/>
    <x v="0"/>
    <x v="0"/>
    <d v="2025-08-05T00:00:00"/>
    <n v="1"/>
    <n v="2"/>
    <x v="2"/>
    <n v="128028"/>
  </r>
  <r>
    <s v="ID114"/>
    <x v="113"/>
    <s v="gyorgy.farkas@yahoo.com"/>
    <s v="+36 70 482 7023"/>
    <x v="0"/>
    <x v="0"/>
    <d v="2020-09-09T00:00:00"/>
    <n v="2"/>
    <n v="7"/>
    <x v="0"/>
    <n v="398160"/>
  </r>
  <r>
    <s v="ID115"/>
    <x v="114"/>
    <s v="csilla.nemeth@gmail.com"/>
    <s v="+36 20 407 2162"/>
    <x v="0"/>
    <x v="4"/>
    <d v="2023-02-01T00:00:00"/>
    <n v="1"/>
    <n v="1"/>
    <x v="2"/>
    <n v="97861"/>
  </r>
  <r>
    <s v="ID116"/>
    <x v="115"/>
    <s v="eszter.varga@gmail.com"/>
    <s v="+36 70 702 5041"/>
    <x v="0"/>
    <x v="9"/>
    <d v="2024-12-22T00:00:00"/>
    <n v="1"/>
    <n v="1"/>
    <x v="2"/>
    <n v="88349"/>
  </r>
  <r>
    <s v="ID117"/>
    <x v="116"/>
    <s v="viktoria.farkas@gmail.com"/>
    <s v="+36 70 525 6149"/>
    <x v="0"/>
    <x v="9"/>
    <d v="2021-05-16T00:00:00"/>
    <n v="1"/>
    <n v="3"/>
    <x v="2"/>
    <n v="290346"/>
  </r>
  <r>
    <s v="ID118"/>
    <x v="117"/>
    <s v="orsolya.kiss@gmail.com"/>
    <s v="+386 31 324 961"/>
    <x v="6"/>
    <x v="22"/>
    <d v="2022-03-01T00:00:00"/>
    <n v="1"/>
    <n v="1"/>
    <x v="2"/>
    <n v="52504"/>
  </r>
  <r>
    <s v="ID119"/>
    <x v="118"/>
    <s v="gabor.toth@gmail.com"/>
    <s v="+36 30 430 1444"/>
    <x v="0"/>
    <x v="0"/>
    <d v="2025-10-03T00:00:00"/>
    <n v="1"/>
    <n v="1"/>
    <x v="2"/>
    <n v="71296"/>
  </r>
  <r>
    <s v="ID120"/>
    <x v="119"/>
    <s v="nora.nagy@gmail.com"/>
    <s v="+36 30 267 6173"/>
    <x v="0"/>
    <x v="9"/>
    <d v="2020-07-25T00:00:00"/>
    <n v="1"/>
    <n v="4"/>
    <x v="2"/>
    <n v="342924"/>
  </r>
  <r>
    <s v="ID121"/>
    <x v="120"/>
    <s v="robert.nagy@gmail.com"/>
    <s v="+36 20 382 8100"/>
    <x v="0"/>
    <x v="5"/>
    <d v="2023-11-21T00:00:00"/>
    <n v="2"/>
    <n v="6"/>
    <x v="0"/>
    <n v="447570"/>
  </r>
  <r>
    <s v="ID122"/>
    <x v="121"/>
    <s v="julia.nemeth@gmail.com"/>
    <s v="+36 20 569 4437"/>
    <x v="0"/>
    <x v="2"/>
    <d v="2024-06-02T00:00:00"/>
    <n v="1"/>
    <n v="3"/>
    <x v="2"/>
    <n v="259422"/>
  </r>
  <r>
    <s v="ID123"/>
    <x v="122"/>
    <s v="nora.horvath@gmail.com"/>
    <s v="+36 70 966 1403"/>
    <x v="0"/>
    <x v="5"/>
    <d v="2021-08-03T00:00:00"/>
    <n v="1"/>
    <n v="1"/>
    <x v="2"/>
    <n v="64014"/>
  </r>
  <r>
    <s v="ID124"/>
    <x v="123"/>
    <s v="ferenc.farkas@gmail.com"/>
    <s v="+36 20 267 7822"/>
    <x v="0"/>
    <x v="0"/>
    <d v="2022-10-08T00:00:00"/>
    <n v="1"/>
    <n v="2"/>
    <x v="2"/>
    <n v="189448"/>
  </r>
  <r>
    <s v="ID125"/>
    <x v="124"/>
    <s v="eva.kovacs@gmail.com"/>
    <s v="+43 630 929 8123"/>
    <x v="5"/>
    <x v="12"/>
    <d v="2025-04-24T00:00:00"/>
    <n v="1"/>
    <n v="1"/>
    <x v="2"/>
    <n v="80751"/>
  </r>
  <r>
    <s v="ID126"/>
    <x v="125"/>
    <s v="csilla.kovacs@gmail.com"/>
    <s v="+36 30 591 7226"/>
    <x v="0"/>
    <x v="2"/>
    <d v="2020-03-29T00:00:00"/>
    <n v="1"/>
    <n v="4"/>
    <x v="2"/>
    <n v="298312"/>
  </r>
  <r>
    <s v="ID127"/>
    <x v="126"/>
    <s v="zoltan.varga@gmail.com"/>
    <s v="+36 70 525 9736"/>
    <x v="0"/>
    <x v="5"/>
    <d v="2023-05-01T00:00:00"/>
    <n v="1"/>
    <n v="3"/>
    <x v="2"/>
    <n v="266838"/>
  </r>
  <r>
    <s v="ID128"/>
    <x v="127"/>
    <s v="orsolya.varga@gmail.com"/>
    <s v="+36 20 844 4551"/>
    <x v="0"/>
    <x v="2"/>
    <d v="2021-09-28T00:00:00"/>
    <n v="1"/>
    <n v="2"/>
    <x v="2"/>
    <n v="117416"/>
  </r>
  <r>
    <s v="ID129"/>
    <x v="128"/>
    <s v="katalin.nagy@gmail.com"/>
    <s v="+36 20 852 6047"/>
    <x v="0"/>
    <x v="0"/>
    <d v="2022-07-31T00:00:00"/>
    <n v="1"/>
    <n v="1"/>
    <x v="2"/>
    <n v="88127"/>
  </r>
  <r>
    <s v="ID130"/>
    <x v="129"/>
    <s v="zsofia.farkas@gmail.com"/>
    <s v="+36 70 756 9841"/>
    <x v="0"/>
    <x v="7"/>
    <d v="2025-01-15T00:00:00"/>
    <n v="2"/>
    <n v="2"/>
    <x v="0"/>
    <n v="160796"/>
  </r>
  <r>
    <s v="ID131"/>
    <x v="130"/>
    <s v="hanna.kovacs@gmail.com"/>
    <s v="+36 70 741 2786"/>
    <x v="0"/>
    <x v="7"/>
    <d v="2020-11-30T00:00:00"/>
    <n v="1"/>
    <n v="1"/>
    <x v="2"/>
    <n v="61035"/>
  </r>
  <r>
    <s v="ID132"/>
    <x v="131"/>
    <s v="tamas.toth@gmail.com"/>
    <s v="+386 31 784 167"/>
    <x v="6"/>
    <x v="22"/>
    <d v="2023-12-14T00:00:00"/>
    <n v="1"/>
    <n v="1"/>
    <x v="2"/>
    <n v="52504"/>
  </r>
  <r>
    <s v="ID133"/>
    <x v="132"/>
    <s v="agnes.nagy@gmail.com"/>
    <s v="+36 20 810 7413"/>
    <x v="0"/>
    <x v="0"/>
    <d v="2024-05-22T00:00:00"/>
    <n v="1"/>
    <n v="1"/>
    <x v="2"/>
    <n v="85731"/>
  </r>
  <r>
    <s v="ID134"/>
    <x v="133"/>
    <s v="bence.kiss@gmail.com"/>
    <s v="+36 70 562 5877"/>
    <x v="0"/>
    <x v="7"/>
    <d v="2021-03-26T00:00:00"/>
    <n v="1"/>
    <n v="2"/>
    <x v="2"/>
    <n v="176698"/>
  </r>
  <r>
    <s v="ID135"/>
    <x v="134"/>
    <s v="gyorgy.horvath@gmail.com"/>
    <s v="+36 30 836 5792"/>
    <x v="0"/>
    <x v="7"/>
    <d v="2022-09-30T00:00:00"/>
    <n v="1"/>
    <n v="1"/>
    <x v="2"/>
    <n v="85841"/>
  </r>
  <r>
    <s v="ID136"/>
    <x v="135"/>
    <s v="orsolya.toth@gmail.com"/>
    <s v="+40 726 712 540"/>
    <x v="2"/>
    <x v="23"/>
    <d v="2025-06-03T00:00:00"/>
    <n v="1"/>
    <n v="1"/>
    <x v="2"/>
    <n v="85841"/>
  </r>
  <r>
    <s v="ID137"/>
    <x v="136"/>
    <s v="zoltan.kovacs@gmail.com"/>
    <s v="+36 20 292 5900"/>
    <x v="0"/>
    <x v="2"/>
    <d v="2020-06-03T00:00:00"/>
    <n v="1"/>
    <n v="3"/>
    <x v="2"/>
    <n v="282741"/>
  </r>
  <r>
    <s v="ID138"/>
    <x v="137"/>
    <s v="csilla.varga@gmail.com"/>
    <s v="+385 91 124 4778 "/>
    <x v="7"/>
    <x v="14"/>
    <d v="2023-08-27T00:00:00"/>
    <n v="1"/>
    <n v="1"/>
    <x v="2"/>
    <n v="51340"/>
  </r>
  <r>
    <s v="ID139"/>
    <x v="138"/>
    <s v="istvan.toth@gmail.com"/>
    <s v="+36 30 996 7173"/>
    <x v="0"/>
    <x v="7"/>
    <d v="2024-02-01T00:00:00"/>
    <n v="1"/>
    <n v="1"/>
    <x v="2"/>
    <n v="64014"/>
  </r>
  <r>
    <s v="ID140"/>
    <x v="139"/>
    <s v="istvan.kovacs@gmail.com"/>
    <s v="+36 70 432 3613"/>
    <x v="0"/>
    <x v="9"/>
    <d v="2021-11-11T00:00:00"/>
    <n v="1"/>
    <n v="1"/>
    <x v="2"/>
    <n v="61035"/>
  </r>
  <r>
    <s v="ID141"/>
    <x v="140"/>
    <s v="katalin.nemeth@gmail.com"/>
    <s v="+36 70 507 9180"/>
    <x v="0"/>
    <x v="4"/>
    <d v="2022-04-27T00:00:00"/>
    <n v="1"/>
    <n v="1"/>
    <x v="2"/>
    <n v="71296"/>
  </r>
  <r>
    <s v="ID142"/>
    <x v="141"/>
    <s v="daniel.horvath@gmail.com"/>
    <s v="+36 20 535 2088"/>
    <x v="0"/>
    <x v="0"/>
    <d v="2025-12-30T00:00:00"/>
    <n v="1"/>
    <n v="1"/>
    <x v="2"/>
    <n v="6234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x v="0"/>
    <n v="1"/>
    <n v="51340"/>
    <n v="13861.800000000001"/>
    <n v="65201.8"/>
    <x v="0"/>
    <x v="0"/>
    <n v="17540"/>
    <n v="0.34164394234515"/>
    <n v="0.5189349112426036"/>
    <x v="0"/>
    <x v="0"/>
  </r>
  <r>
    <x v="0"/>
    <x v="1"/>
    <n v="1"/>
    <n v="64014"/>
    <n v="17283.780000000002"/>
    <n v="81297.78"/>
    <x v="0"/>
    <x v="1"/>
    <n v="19714"/>
    <n v="0.30796388290061549"/>
    <n v="0.44501128668171558"/>
    <x v="0"/>
    <x v="1"/>
  </r>
  <r>
    <x v="0"/>
    <x v="2"/>
    <n v="1"/>
    <n v="94724"/>
    <n v="25575.480000000003"/>
    <n v="120299.48000000001"/>
    <x v="0"/>
    <x v="2"/>
    <n v="27224"/>
    <n v="0.28740340357248428"/>
    <n v="0.40331851851851852"/>
    <x v="1"/>
    <x v="2"/>
  </r>
  <r>
    <x v="0"/>
    <x v="3"/>
    <n v="2"/>
    <n v="172948"/>
    <n v="46695.960000000006"/>
    <n v="219643.96000000002"/>
    <x v="1"/>
    <x v="3"/>
    <n v="58148"/>
    <n v="0.33621666628119434"/>
    <n v="0.50651567944250875"/>
    <x v="2"/>
    <x v="0"/>
  </r>
  <r>
    <x v="0"/>
    <x v="4"/>
    <n v="2"/>
    <n v="124680"/>
    <n v="33663.600000000006"/>
    <n v="158343.6"/>
    <x v="0"/>
    <x v="4"/>
    <n v="42280"/>
    <n v="0.33910811677895414"/>
    <n v="0.51310679611650489"/>
    <x v="3"/>
    <x v="0"/>
  </r>
  <r>
    <x v="0"/>
    <x v="5"/>
    <n v="2"/>
    <n v="161502"/>
    <n v="43605.54"/>
    <n v="205107.54"/>
    <x v="0"/>
    <x v="5"/>
    <n v="49902"/>
    <n v="0.3089868856113237"/>
    <n v="0.4471505376344086"/>
    <x v="3"/>
    <x v="2"/>
  </r>
  <r>
    <x v="0"/>
    <x v="6"/>
    <n v="1"/>
    <n v="52504"/>
    <n v="14176.080000000002"/>
    <n v="66680.08"/>
    <x v="1"/>
    <x v="6"/>
    <n v="16904"/>
    <n v="0.32195642236781957"/>
    <n v="0.47483146067415732"/>
    <x v="2"/>
    <x v="0"/>
  </r>
  <r>
    <x v="1"/>
    <x v="7"/>
    <n v="1"/>
    <n v="58708"/>
    <n v="15851.160000000002"/>
    <n v="74559.16"/>
    <x v="1"/>
    <x v="7"/>
    <n v="19308"/>
    <n v="0.3288819240989303"/>
    <n v="0.49005076142131981"/>
    <x v="2"/>
    <x v="1"/>
  </r>
  <r>
    <x v="1"/>
    <x v="8"/>
    <n v="1"/>
    <n v="74578"/>
    <n v="20136.060000000001"/>
    <n v="94714.06"/>
    <x v="0"/>
    <x v="8"/>
    <n v="24278"/>
    <n v="0.32553836251977797"/>
    <n v="0.48266401590457259"/>
    <x v="0"/>
    <x v="0"/>
  </r>
  <r>
    <x v="1"/>
    <x v="9"/>
    <n v="2"/>
    <n v="198210"/>
    <n v="53516.700000000004"/>
    <n v="251726.7"/>
    <x v="1"/>
    <x v="9"/>
    <n v="55810"/>
    <n v="0.28157005196508755"/>
    <n v="0.39192415730337077"/>
    <x v="4"/>
    <x v="1"/>
  </r>
  <r>
    <x v="1"/>
    <x v="10"/>
    <n v="1"/>
    <n v="63536"/>
    <n v="17154.72"/>
    <n v="80690.720000000001"/>
    <x v="0"/>
    <x v="10"/>
    <n v="20636"/>
    <n v="0.32479224376731303"/>
    <n v="0.48102564102564105"/>
    <x v="2"/>
    <x v="2"/>
  </r>
  <r>
    <x v="1"/>
    <x v="11"/>
    <n v="3"/>
    <n v="266838"/>
    <n v="72046.260000000009"/>
    <n v="338884.26"/>
    <x v="1"/>
    <x v="11"/>
    <n v="80538"/>
    <n v="0.30182357835090956"/>
    <n v="0.43230273752012882"/>
    <x v="2"/>
    <x v="1"/>
  </r>
  <r>
    <x v="1"/>
    <x v="12"/>
    <n v="1"/>
    <n v="94247"/>
    <n v="25446.690000000002"/>
    <n v="119693.69"/>
    <x v="1"/>
    <x v="12"/>
    <n v="27547"/>
    <n v="0.29228516557556211"/>
    <n v="0.41299850074962519"/>
    <x v="3"/>
    <x v="0"/>
  </r>
  <r>
    <x v="2"/>
    <x v="13"/>
    <n v="1"/>
    <n v="80499"/>
    <n v="21734.730000000003"/>
    <n v="102233.73000000001"/>
    <x v="0"/>
    <x v="13"/>
    <n v="24399"/>
    <n v="0.3030969328811538"/>
    <n v="0.4349197860962567"/>
    <x v="5"/>
    <x v="1"/>
  </r>
  <r>
    <x v="2"/>
    <x v="14"/>
    <n v="1"/>
    <n v="85841"/>
    <n v="23177.07"/>
    <n v="109018.07"/>
    <x v="0"/>
    <x v="14"/>
    <n v="25341"/>
    <n v="0.29520858331100525"/>
    <n v="0.41885950413223139"/>
    <x v="4"/>
    <x v="2"/>
  </r>
  <r>
    <x v="2"/>
    <x v="5"/>
    <n v="4"/>
    <n v="323004"/>
    <n v="87211.08"/>
    <n v="410215.08"/>
    <x v="1"/>
    <x v="15"/>
    <n v="99804"/>
    <n v="0.3089868856113237"/>
    <n v="0.4471505376344086"/>
    <x v="3"/>
    <x v="2"/>
  </r>
  <r>
    <x v="2"/>
    <x v="15"/>
    <n v="1"/>
    <n v="88127"/>
    <n v="23794.29"/>
    <n v="111921.29000000001"/>
    <x v="1"/>
    <x v="16"/>
    <n v="27327"/>
    <n v="0.31008657959535668"/>
    <n v="0.44945723684210526"/>
    <x v="2"/>
    <x v="2"/>
  </r>
  <r>
    <x v="2"/>
    <x v="16"/>
    <n v="4"/>
    <n v="244140"/>
    <n v="65917.8"/>
    <n v="310057.8"/>
    <x v="1"/>
    <x v="17"/>
    <n v="83340"/>
    <n v="0.34136151388547553"/>
    <n v="0.51828358208955227"/>
    <x v="5"/>
    <x v="1"/>
  </r>
  <r>
    <x v="2"/>
    <x v="1"/>
    <n v="1"/>
    <n v="64014"/>
    <n v="17283.780000000002"/>
    <n v="81297.78"/>
    <x v="1"/>
    <x v="18"/>
    <n v="19714"/>
    <n v="0.30796388290061549"/>
    <n v="0.44501128668171558"/>
    <x v="0"/>
    <x v="1"/>
  </r>
  <r>
    <x v="2"/>
    <x v="6"/>
    <n v="1"/>
    <n v="52504"/>
    <n v="14176.080000000002"/>
    <n v="66680.08"/>
    <x v="1"/>
    <x v="19"/>
    <n v="16904"/>
    <n v="0.32195642236781957"/>
    <n v="0.47483146067415732"/>
    <x v="2"/>
    <x v="0"/>
  </r>
  <r>
    <x v="2"/>
    <x v="17"/>
    <n v="4"/>
    <n v="391444"/>
    <n v="105689.88"/>
    <n v="497133.88"/>
    <x v="1"/>
    <x v="20"/>
    <n v="113844"/>
    <n v="0.29083087235977562"/>
    <n v="0.41010086455331413"/>
    <x v="4"/>
    <x v="1"/>
  </r>
  <r>
    <x v="2"/>
    <x v="18"/>
    <n v="3"/>
    <n v="265047"/>
    <n v="71562.69"/>
    <n v="336609.69"/>
    <x v="1"/>
    <x v="21"/>
    <n v="79947"/>
    <n v="0.30163329522688431"/>
    <n v="0.4319124797406807"/>
    <x v="3"/>
    <x v="1"/>
  </r>
  <r>
    <x v="3"/>
    <x v="19"/>
    <n v="2"/>
    <n v="193564"/>
    <n v="52262.280000000006"/>
    <n v="245826.28"/>
    <x v="1"/>
    <x v="22"/>
    <n v="56964"/>
    <n v="0.29429026058564611"/>
    <n v="0.41701317715959002"/>
    <x v="1"/>
    <x v="1"/>
  </r>
  <r>
    <x v="3"/>
    <x v="20"/>
    <n v="3"/>
    <n v="213888"/>
    <n v="57749.760000000002"/>
    <n v="271637.76000000001"/>
    <x v="0"/>
    <x v="23"/>
    <n v="68088"/>
    <n v="0.31833482944344704"/>
    <n v="0.46699588477366255"/>
    <x v="2"/>
    <x v="1"/>
  </r>
  <r>
    <x v="3"/>
    <x v="21"/>
    <n v="4"/>
    <n v="342924"/>
    <n v="92589.48000000001"/>
    <n v="435513.48"/>
    <x v="1"/>
    <x v="24"/>
    <n v="103324"/>
    <n v="0.30130291259870989"/>
    <n v="0.43123539232053421"/>
    <x v="6"/>
    <x v="0"/>
  </r>
  <r>
    <x v="4"/>
    <x v="0"/>
    <n v="3"/>
    <n v="154020"/>
    <n v="41585.4"/>
    <n v="195605.4"/>
    <x v="1"/>
    <x v="25"/>
    <n v="52620"/>
    <n v="0.34164394234515"/>
    <n v="0.5189349112426036"/>
    <x v="0"/>
    <x v="0"/>
  </r>
  <r>
    <x v="4"/>
    <x v="4"/>
    <n v="3"/>
    <n v="187020"/>
    <n v="50495.4"/>
    <n v="237515.4"/>
    <x v="1"/>
    <x v="26"/>
    <n v="63420"/>
    <n v="0.33910811677895414"/>
    <n v="0.51310679611650489"/>
    <x v="3"/>
    <x v="0"/>
  </r>
  <r>
    <x v="4"/>
    <x v="13"/>
    <n v="2"/>
    <n v="160998"/>
    <n v="43469.460000000006"/>
    <n v="204467.46000000002"/>
    <x v="1"/>
    <x v="27"/>
    <n v="48798"/>
    <n v="0.3030969328811538"/>
    <n v="0.4349197860962567"/>
    <x v="5"/>
    <x v="1"/>
  </r>
  <r>
    <x v="4"/>
    <x v="1"/>
    <n v="4"/>
    <n v="256056"/>
    <n v="69135.12000000001"/>
    <n v="325191.12"/>
    <x v="1"/>
    <x v="28"/>
    <n v="78856"/>
    <n v="0.30796388290061549"/>
    <n v="0.44501128668171558"/>
    <x v="0"/>
    <x v="1"/>
  </r>
  <r>
    <x v="5"/>
    <x v="6"/>
    <n v="4"/>
    <n v="210016"/>
    <n v="56704.320000000007"/>
    <n v="266720.32"/>
    <x v="0"/>
    <x v="29"/>
    <n v="67616"/>
    <n v="0.32195642236781957"/>
    <n v="0.47483146067415732"/>
    <x v="2"/>
    <x v="0"/>
  </r>
  <r>
    <x v="5"/>
    <x v="3"/>
    <n v="4"/>
    <n v="345896"/>
    <n v="93391.920000000013"/>
    <n v="439287.92000000004"/>
    <x v="1"/>
    <x v="30"/>
    <n v="116296"/>
    <n v="0.33621666628119434"/>
    <n v="0.50651567944250875"/>
    <x v="2"/>
    <x v="0"/>
  </r>
  <r>
    <x v="5"/>
    <x v="10"/>
    <n v="1"/>
    <n v="63536"/>
    <n v="17154.72"/>
    <n v="80690.720000000001"/>
    <x v="0"/>
    <x v="31"/>
    <n v="20636"/>
    <n v="0.32479224376731303"/>
    <n v="0.48102564102564105"/>
    <x v="2"/>
    <x v="2"/>
  </r>
  <r>
    <x v="5"/>
    <x v="5"/>
    <n v="1"/>
    <n v="80751"/>
    <n v="21802.77"/>
    <n v="102553.77"/>
    <x v="1"/>
    <x v="32"/>
    <n v="24951"/>
    <n v="0.3089868856113237"/>
    <n v="0.4471505376344086"/>
    <x v="3"/>
    <x v="2"/>
  </r>
  <r>
    <x v="5"/>
    <x v="8"/>
    <n v="3"/>
    <n v="223734"/>
    <n v="60408.180000000008"/>
    <n v="284142.18"/>
    <x v="1"/>
    <x v="33"/>
    <n v="72834"/>
    <n v="0.32553836251977797"/>
    <n v="0.48266401590457259"/>
    <x v="0"/>
    <x v="0"/>
  </r>
  <r>
    <x v="5"/>
    <x v="9"/>
    <n v="2"/>
    <n v="198210"/>
    <n v="53516.700000000004"/>
    <n v="251726.7"/>
    <x v="0"/>
    <x v="34"/>
    <n v="55810"/>
    <n v="0.28157005196508755"/>
    <n v="0.39192415730337077"/>
    <x v="4"/>
    <x v="1"/>
  </r>
  <r>
    <x v="6"/>
    <x v="2"/>
    <n v="4"/>
    <n v="378896"/>
    <n v="102301.92000000001"/>
    <n v="481197.92000000004"/>
    <x v="1"/>
    <x v="35"/>
    <n v="108896"/>
    <n v="0.28740340357248428"/>
    <n v="0.40331851851851852"/>
    <x v="1"/>
    <x v="2"/>
  </r>
  <r>
    <x v="6"/>
    <x v="11"/>
    <n v="3"/>
    <n v="266838"/>
    <n v="72046.260000000009"/>
    <n v="338884.26"/>
    <x v="1"/>
    <x v="36"/>
    <n v="80538"/>
    <n v="0.30182357835090956"/>
    <n v="0.43230273752012882"/>
    <x v="2"/>
    <x v="1"/>
  </r>
  <r>
    <x v="6"/>
    <x v="12"/>
    <n v="2"/>
    <n v="188494"/>
    <n v="50893.380000000005"/>
    <n v="239387.38"/>
    <x v="1"/>
    <x v="37"/>
    <n v="55094"/>
    <n v="0.29228516557556211"/>
    <n v="0.41299850074962519"/>
    <x v="3"/>
    <x v="0"/>
  </r>
  <r>
    <x v="6"/>
    <x v="15"/>
    <n v="4"/>
    <n v="352508"/>
    <n v="95177.16"/>
    <n v="447685.16000000003"/>
    <x v="1"/>
    <x v="38"/>
    <n v="109308"/>
    <n v="0.31008657959535668"/>
    <n v="0.44945723684210526"/>
    <x v="2"/>
    <x v="2"/>
  </r>
  <r>
    <x v="7"/>
    <x v="1"/>
    <n v="2"/>
    <n v="128028"/>
    <n v="34567.560000000005"/>
    <n v="162595.56"/>
    <x v="1"/>
    <x v="39"/>
    <n v="39428"/>
    <n v="0.30796388290061549"/>
    <n v="0.44501128668171558"/>
    <x v="0"/>
    <x v="1"/>
  </r>
  <r>
    <x v="7"/>
    <x v="14"/>
    <n v="2"/>
    <n v="171682"/>
    <n v="46354.14"/>
    <n v="218036.14"/>
    <x v="0"/>
    <x v="40"/>
    <n v="50682"/>
    <n v="0.29520858331100525"/>
    <n v="0.41885950413223139"/>
    <x v="4"/>
    <x v="2"/>
  </r>
  <r>
    <x v="7"/>
    <x v="7"/>
    <n v="1"/>
    <n v="58708"/>
    <n v="15851.160000000002"/>
    <n v="74559.16"/>
    <x v="1"/>
    <x v="41"/>
    <n v="19308"/>
    <n v="0.3288819240989303"/>
    <n v="0.49005076142131981"/>
    <x v="2"/>
    <x v="1"/>
  </r>
  <r>
    <x v="7"/>
    <x v="5"/>
    <n v="5"/>
    <n v="403755"/>
    <n v="109013.85"/>
    <n v="512768.85"/>
    <x v="1"/>
    <x v="42"/>
    <n v="124755"/>
    <n v="0.3089868856113237"/>
    <n v="0.4471505376344086"/>
    <x v="3"/>
    <x v="2"/>
  </r>
  <r>
    <x v="7"/>
    <x v="18"/>
    <n v="1"/>
    <n v="88349"/>
    <n v="23854.230000000003"/>
    <n v="112203.23000000001"/>
    <x v="0"/>
    <x v="43"/>
    <n v="26649"/>
    <n v="0.30163329522688431"/>
    <n v="0.4319124797406807"/>
    <x v="3"/>
    <x v="1"/>
  </r>
  <r>
    <x v="7"/>
    <x v="19"/>
    <n v="1"/>
    <n v="96782"/>
    <n v="26131.140000000003"/>
    <n v="122913.14"/>
    <x v="0"/>
    <x v="43"/>
    <n v="28482"/>
    <n v="0.29429026058564611"/>
    <n v="0.41701317715959002"/>
    <x v="1"/>
    <x v="1"/>
  </r>
  <r>
    <x v="7"/>
    <x v="6"/>
    <n v="2"/>
    <n v="105008"/>
    <n v="28352.160000000003"/>
    <n v="133360.16"/>
    <x v="1"/>
    <x v="44"/>
    <n v="33808"/>
    <n v="0.32195642236781957"/>
    <n v="0.47483146067415732"/>
    <x v="2"/>
    <x v="0"/>
  </r>
  <r>
    <x v="7"/>
    <x v="16"/>
    <n v="4"/>
    <n v="244140"/>
    <n v="65917.8"/>
    <n v="310057.8"/>
    <x v="0"/>
    <x v="45"/>
    <n v="83340"/>
    <n v="0.34136151388547553"/>
    <n v="0.51828358208955227"/>
    <x v="5"/>
    <x v="1"/>
  </r>
  <r>
    <x v="7"/>
    <x v="17"/>
    <n v="3"/>
    <n v="293583"/>
    <n v="79267.41"/>
    <n v="372850.41000000003"/>
    <x v="1"/>
    <x v="46"/>
    <n v="85383"/>
    <n v="0.29083087235977562"/>
    <n v="0.41010086455331413"/>
    <x v="4"/>
    <x v="1"/>
  </r>
  <r>
    <x v="8"/>
    <x v="20"/>
    <n v="3"/>
    <n v="213888"/>
    <n v="57749.760000000002"/>
    <n v="271637.76000000001"/>
    <x v="1"/>
    <x v="47"/>
    <n v="68088"/>
    <n v="0.31833482944344704"/>
    <n v="0.46699588477366255"/>
    <x v="2"/>
    <x v="1"/>
  </r>
  <r>
    <x v="8"/>
    <x v="21"/>
    <n v="1"/>
    <n v="85731"/>
    <n v="23147.370000000003"/>
    <n v="108878.37"/>
    <x v="1"/>
    <x v="48"/>
    <n v="25831"/>
    <n v="0.30130291259870989"/>
    <n v="0.43123539232053421"/>
    <x v="6"/>
    <x v="0"/>
  </r>
  <r>
    <x v="8"/>
    <x v="0"/>
    <n v="3"/>
    <n v="154020"/>
    <n v="41585.4"/>
    <n v="195605.4"/>
    <x v="1"/>
    <x v="49"/>
    <n v="52620"/>
    <n v="0.34164394234515"/>
    <n v="0.5189349112426036"/>
    <x v="0"/>
    <x v="0"/>
  </r>
  <r>
    <x v="8"/>
    <x v="3"/>
    <n v="1"/>
    <n v="86474"/>
    <n v="23347.980000000003"/>
    <n v="109821.98000000001"/>
    <x v="0"/>
    <x v="50"/>
    <n v="29074"/>
    <n v="0.33621666628119434"/>
    <n v="0.50651567944250875"/>
    <x v="2"/>
    <x v="0"/>
  </r>
  <r>
    <x v="8"/>
    <x v="4"/>
    <n v="5"/>
    <n v="311700"/>
    <n v="84159"/>
    <n v="395859"/>
    <x v="1"/>
    <x v="51"/>
    <n v="105700"/>
    <n v="0.33910811677895414"/>
    <n v="0.51310679611650489"/>
    <x v="3"/>
    <x v="0"/>
  </r>
  <r>
    <x v="8"/>
    <x v="6"/>
    <n v="4"/>
    <n v="210016"/>
    <n v="56704.320000000007"/>
    <n v="266720.32"/>
    <x v="0"/>
    <x v="52"/>
    <n v="67616"/>
    <n v="0.32195642236781957"/>
    <n v="0.47483146067415732"/>
    <x v="2"/>
    <x v="0"/>
  </r>
  <r>
    <x v="8"/>
    <x v="1"/>
    <n v="3"/>
    <n v="192042"/>
    <n v="51851.340000000004"/>
    <n v="243893.34"/>
    <x v="0"/>
    <x v="32"/>
    <n v="59142"/>
    <n v="0.30796388290061549"/>
    <n v="0.44501128668171558"/>
    <x v="0"/>
    <x v="1"/>
  </r>
  <r>
    <x v="8"/>
    <x v="2"/>
    <n v="2"/>
    <n v="189448"/>
    <n v="51150.960000000006"/>
    <n v="240598.96000000002"/>
    <x v="1"/>
    <x v="53"/>
    <n v="54448"/>
    <n v="0.28740340357248428"/>
    <n v="0.40331851851851852"/>
    <x v="1"/>
    <x v="2"/>
  </r>
  <r>
    <x v="9"/>
    <x v="5"/>
    <n v="1"/>
    <n v="80751"/>
    <n v="21802.77"/>
    <n v="102553.77"/>
    <x v="1"/>
    <x v="54"/>
    <n v="24951"/>
    <n v="0.3089868856113237"/>
    <n v="0.4471505376344086"/>
    <x v="3"/>
    <x v="2"/>
  </r>
  <r>
    <x v="9"/>
    <x v="8"/>
    <n v="1"/>
    <n v="74578"/>
    <n v="20136.060000000001"/>
    <n v="94714.06"/>
    <x v="1"/>
    <x v="55"/>
    <n v="24278"/>
    <n v="0.32553836251977797"/>
    <n v="0.48266401590457259"/>
    <x v="0"/>
    <x v="0"/>
  </r>
  <r>
    <x v="9"/>
    <x v="9"/>
    <n v="1"/>
    <n v="99105"/>
    <n v="26758.350000000002"/>
    <n v="125863.35"/>
    <x v="1"/>
    <x v="56"/>
    <n v="27905"/>
    <n v="0.28157005196508755"/>
    <n v="0.39192415730337077"/>
    <x v="4"/>
    <x v="1"/>
  </r>
  <r>
    <x v="9"/>
    <x v="13"/>
    <n v="3"/>
    <n v="241497"/>
    <n v="65204.19"/>
    <n v="306701.19"/>
    <x v="0"/>
    <x v="57"/>
    <n v="73197"/>
    <n v="0.3030969328811538"/>
    <n v="0.4349197860962567"/>
    <x v="5"/>
    <x v="1"/>
  </r>
  <r>
    <x v="9"/>
    <x v="10"/>
    <n v="4"/>
    <n v="254144"/>
    <n v="68618.880000000005"/>
    <n v="322762.88"/>
    <x v="0"/>
    <x v="58"/>
    <n v="82544"/>
    <n v="0.32479224376731303"/>
    <n v="0.48102564102564105"/>
    <x v="2"/>
    <x v="2"/>
  </r>
  <r>
    <x v="9"/>
    <x v="12"/>
    <n v="1"/>
    <n v="94247"/>
    <n v="25446.690000000002"/>
    <n v="119693.69"/>
    <x v="0"/>
    <x v="59"/>
    <n v="27547"/>
    <n v="0.29228516557556211"/>
    <n v="0.41299850074962519"/>
    <x v="3"/>
    <x v="0"/>
  </r>
  <r>
    <x v="9"/>
    <x v="11"/>
    <n v="3"/>
    <n v="266838"/>
    <n v="72046.260000000009"/>
    <n v="338884.26"/>
    <x v="1"/>
    <x v="60"/>
    <n v="80538"/>
    <n v="0.30182357835090956"/>
    <n v="0.43230273752012882"/>
    <x v="2"/>
    <x v="1"/>
  </r>
  <r>
    <x v="9"/>
    <x v="7"/>
    <n v="1"/>
    <n v="58708"/>
    <n v="15851.160000000002"/>
    <n v="74559.16"/>
    <x v="1"/>
    <x v="56"/>
    <n v="19308"/>
    <n v="0.3288819240989303"/>
    <n v="0.49005076142131981"/>
    <x v="2"/>
    <x v="1"/>
  </r>
  <r>
    <x v="9"/>
    <x v="14"/>
    <n v="5"/>
    <n v="429205"/>
    <n v="115885.35"/>
    <n v="545090.35"/>
    <x v="1"/>
    <x v="61"/>
    <n v="126705"/>
    <n v="0.29520858331100525"/>
    <n v="0.41885950413223139"/>
    <x v="4"/>
    <x v="2"/>
  </r>
  <r>
    <x v="10"/>
    <x v="5"/>
    <n v="2"/>
    <n v="161502"/>
    <n v="43605.54"/>
    <n v="205107.54"/>
    <x v="1"/>
    <x v="62"/>
    <n v="49902"/>
    <n v="0.3089868856113237"/>
    <n v="0.4471505376344086"/>
    <x v="3"/>
    <x v="2"/>
  </r>
  <r>
    <x v="10"/>
    <x v="15"/>
    <n v="3"/>
    <n v="264381"/>
    <n v="71382.87000000001"/>
    <n v="335763.87"/>
    <x v="0"/>
    <x v="63"/>
    <n v="81981"/>
    <n v="0.31008657959535668"/>
    <n v="0.44945723684210526"/>
    <x v="2"/>
    <x v="2"/>
  </r>
  <r>
    <x v="10"/>
    <x v="1"/>
    <n v="3"/>
    <n v="192042"/>
    <n v="51851.340000000004"/>
    <n v="243893.34"/>
    <x v="0"/>
    <x v="64"/>
    <n v="59142"/>
    <n v="0.30796388290061549"/>
    <n v="0.44501128668171558"/>
    <x v="0"/>
    <x v="1"/>
  </r>
  <r>
    <x v="10"/>
    <x v="16"/>
    <n v="2"/>
    <n v="122070"/>
    <n v="32958.9"/>
    <n v="155028.9"/>
    <x v="0"/>
    <x v="65"/>
    <n v="41670"/>
    <n v="0.34136151388547553"/>
    <n v="0.51828358208955227"/>
    <x v="5"/>
    <x v="1"/>
  </r>
  <r>
    <x v="10"/>
    <x v="17"/>
    <n v="1"/>
    <n v="97861"/>
    <n v="26422.47"/>
    <n v="124283.47"/>
    <x v="1"/>
    <x v="13"/>
    <n v="28461"/>
    <n v="0.29083087235977562"/>
    <n v="0.41010086455331413"/>
    <x v="4"/>
    <x v="1"/>
  </r>
  <r>
    <x v="11"/>
    <x v="18"/>
    <n v="3"/>
    <n v="265047"/>
    <n v="71562.69"/>
    <n v="336609.69"/>
    <x v="1"/>
    <x v="62"/>
    <n v="79947"/>
    <n v="0.30163329522688431"/>
    <n v="0.4319124797406807"/>
    <x v="3"/>
    <x v="1"/>
  </r>
  <r>
    <x v="11"/>
    <x v="19"/>
    <n v="1"/>
    <n v="96782"/>
    <n v="26131.140000000003"/>
    <n v="122913.14"/>
    <x v="0"/>
    <x v="66"/>
    <n v="28482"/>
    <n v="0.29429026058564611"/>
    <n v="0.41701317715959002"/>
    <x v="1"/>
    <x v="1"/>
  </r>
  <r>
    <x v="11"/>
    <x v="6"/>
    <n v="4"/>
    <n v="210016"/>
    <n v="56704.320000000007"/>
    <n v="266720.32"/>
    <x v="0"/>
    <x v="67"/>
    <n v="67616"/>
    <n v="0.32195642236781957"/>
    <n v="0.47483146067415732"/>
    <x v="2"/>
    <x v="0"/>
  </r>
  <r>
    <x v="11"/>
    <x v="20"/>
    <n v="3"/>
    <n v="213888"/>
    <n v="57749.760000000002"/>
    <n v="271637.76000000001"/>
    <x v="1"/>
    <x v="68"/>
    <n v="68088"/>
    <n v="0.31833482944344704"/>
    <n v="0.46699588477366255"/>
    <x v="2"/>
    <x v="1"/>
  </r>
  <r>
    <x v="12"/>
    <x v="21"/>
    <n v="4"/>
    <n v="342924"/>
    <n v="92589.48000000001"/>
    <n v="435513.48"/>
    <x v="0"/>
    <x v="3"/>
    <n v="103324"/>
    <n v="0.30130291259870989"/>
    <n v="0.43123539232053421"/>
    <x v="6"/>
    <x v="0"/>
  </r>
  <r>
    <x v="12"/>
    <x v="0"/>
    <n v="1"/>
    <n v="51340"/>
    <n v="13861.800000000001"/>
    <n v="65201.8"/>
    <x v="1"/>
    <x v="69"/>
    <n v="17540"/>
    <n v="0.34164394234515"/>
    <n v="0.5189349112426036"/>
    <x v="0"/>
    <x v="0"/>
  </r>
  <r>
    <x v="12"/>
    <x v="4"/>
    <n v="2"/>
    <n v="124680"/>
    <n v="33663.600000000006"/>
    <n v="158343.6"/>
    <x v="0"/>
    <x v="70"/>
    <n v="42280"/>
    <n v="0.33910811677895414"/>
    <n v="0.51310679611650489"/>
    <x v="3"/>
    <x v="0"/>
  </r>
  <r>
    <x v="12"/>
    <x v="3"/>
    <n v="1"/>
    <n v="86474"/>
    <n v="23347.980000000003"/>
    <n v="109821.98000000001"/>
    <x v="0"/>
    <x v="27"/>
    <n v="29074"/>
    <n v="0.33621666628119434"/>
    <n v="0.50651567944250875"/>
    <x v="2"/>
    <x v="0"/>
  </r>
  <r>
    <x v="12"/>
    <x v="6"/>
    <n v="4"/>
    <n v="210016"/>
    <n v="56704.320000000007"/>
    <n v="266720.32"/>
    <x v="1"/>
    <x v="28"/>
    <n v="67616"/>
    <n v="0.32195642236781957"/>
    <n v="0.47483146067415732"/>
    <x v="2"/>
    <x v="0"/>
  </r>
  <r>
    <x v="13"/>
    <x v="1"/>
    <n v="1"/>
    <n v="64014"/>
    <n v="17283.780000000002"/>
    <n v="81297.78"/>
    <x v="0"/>
    <x v="56"/>
    <n v="19714"/>
    <n v="0.30796388290061549"/>
    <n v="0.44501128668171558"/>
    <x v="0"/>
    <x v="1"/>
  </r>
  <r>
    <x v="13"/>
    <x v="2"/>
    <n v="1"/>
    <n v="94724"/>
    <n v="25575.480000000003"/>
    <n v="120299.48000000001"/>
    <x v="0"/>
    <x v="59"/>
    <n v="27224"/>
    <n v="0.28740340357248428"/>
    <n v="0.40331851851851852"/>
    <x v="1"/>
    <x v="2"/>
  </r>
  <r>
    <x v="13"/>
    <x v="5"/>
    <n v="4"/>
    <n v="323004"/>
    <n v="87211.08"/>
    <n v="410215.08"/>
    <x v="0"/>
    <x v="19"/>
    <n v="99804"/>
    <n v="0.3089868856113237"/>
    <n v="0.4471505376344086"/>
    <x v="3"/>
    <x v="2"/>
  </r>
  <r>
    <x v="13"/>
    <x v="8"/>
    <n v="3"/>
    <n v="223734"/>
    <n v="60408.180000000008"/>
    <n v="284142.18"/>
    <x v="1"/>
    <x v="71"/>
    <n v="72834"/>
    <n v="0.32553836251977797"/>
    <n v="0.48266401590457259"/>
    <x v="0"/>
    <x v="0"/>
  </r>
  <r>
    <x v="13"/>
    <x v="13"/>
    <n v="1"/>
    <n v="80499"/>
    <n v="21734.730000000003"/>
    <n v="102233.73000000001"/>
    <x v="0"/>
    <x v="72"/>
    <n v="24399"/>
    <n v="0.3030969328811538"/>
    <n v="0.4349197860962567"/>
    <x v="5"/>
    <x v="1"/>
  </r>
  <r>
    <x v="13"/>
    <x v="9"/>
    <n v="2"/>
    <n v="198210"/>
    <n v="53516.700000000004"/>
    <n v="251726.7"/>
    <x v="0"/>
    <x v="73"/>
    <n v="55810"/>
    <n v="0.28157005196508755"/>
    <n v="0.39192415730337077"/>
    <x v="4"/>
    <x v="1"/>
  </r>
  <r>
    <x v="13"/>
    <x v="10"/>
    <n v="1"/>
    <n v="63536"/>
    <n v="17154.72"/>
    <n v="80690.720000000001"/>
    <x v="1"/>
    <x v="74"/>
    <n v="20636"/>
    <n v="0.32479224376731303"/>
    <n v="0.48102564102564105"/>
    <x v="2"/>
    <x v="2"/>
  </r>
  <r>
    <x v="14"/>
    <x v="11"/>
    <n v="2"/>
    <n v="177892"/>
    <n v="48030.840000000004"/>
    <n v="225922.84"/>
    <x v="1"/>
    <x v="75"/>
    <n v="53692"/>
    <n v="0.30182357835090956"/>
    <n v="0.43230273752012882"/>
    <x v="2"/>
    <x v="1"/>
  </r>
  <r>
    <x v="14"/>
    <x v="12"/>
    <n v="4"/>
    <n v="376988"/>
    <n v="101786.76000000001"/>
    <n v="478774.76"/>
    <x v="0"/>
    <x v="76"/>
    <n v="110188"/>
    <n v="0.29228516557556211"/>
    <n v="0.41299850074962519"/>
    <x v="3"/>
    <x v="0"/>
  </r>
  <r>
    <x v="14"/>
    <x v="7"/>
    <n v="3"/>
    <n v="176124"/>
    <n v="47553.48"/>
    <n v="223677.48"/>
    <x v="1"/>
    <x v="77"/>
    <n v="57924"/>
    <n v="0.3288819240989303"/>
    <n v="0.49005076142131981"/>
    <x v="2"/>
    <x v="1"/>
  </r>
  <r>
    <x v="14"/>
    <x v="14"/>
    <n v="3"/>
    <n v="257523"/>
    <n v="69531.210000000006"/>
    <n v="327054.21000000002"/>
    <x v="0"/>
    <x v="9"/>
    <n v="76023"/>
    <n v="0.29520858331100525"/>
    <n v="0.41885950413223139"/>
    <x v="4"/>
    <x v="2"/>
  </r>
  <r>
    <x v="14"/>
    <x v="5"/>
    <n v="2"/>
    <n v="161502"/>
    <n v="43605.54"/>
    <n v="205107.54"/>
    <x v="1"/>
    <x v="36"/>
    <n v="49902"/>
    <n v="0.3089868856113237"/>
    <n v="0.4471505376344086"/>
    <x v="3"/>
    <x v="2"/>
  </r>
  <r>
    <x v="14"/>
    <x v="15"/>
    <n v="1"/>
    <n v="88127"/>
    <n v="23794.29"/>
    <n v="111921.29000000001"/>
    <x v="1"/>
    <x v="20"/>
    <n v="27327"/>
    <n v="0.31008657959535668"/>
    <n v="0.44945723684210526"/>
    <x v="2"/>
    <x v="2"/>
  </r>
  <r>
    <x v="14"/>
    <x v="1"/>
    <n v="1"/>
    <n v="64014"/>
    <n v="17283.780000000002"/>
    <n v="81297.78"/>
    <x v="0"/>
    <x v="78"/>
    <n v="19714"/>
    <n v="0.30796388290061549"/>
    <n v="0.44501128668171558"/>
    <x v="0"/>
    <x v="1"/>
  </r>
  <r>
    <x v="14"/>
    <x v="16"/>
    <n v="2"/>
    <n v="122070"/>
    <n v="32958.9"/>
    <n v="155028.9"/>
    <x v="0"/>
    <x v="34"/>
    <n v="41670"/>
    <n v="0.34136151388547553"/>
    <n v="0.51828358208955227"/>
    <x v="5"/>
    <x v="1"/>
  </r>
  <r>
    <x v="14"/>
    <x v="18"/>
    <n v="2"/>
    <n v="176698"/>
    <n v="47708.460000000006"/>
    <n v="224406.46000000002"/>
    <x v="1"/>
    <x v="79"/>
    <n v="53298"/>
    <n v="0.30163329522688431"/>
    <n v="0.4319124797406807"/>
    <x v="3"/>
    <x v="1"/>
  </r>
  <r>
    <x v="15"/>
    <x v="17"/>
    <n v="3"/>
    <n v="293583"/>
    <n v="79267.41"/>
    <n v="372850.41000000003"/>
    <x v="1"/>
    <x v="80"/>
    <n v="85383"/>
    <n v="0.29083087235977562"/>
    <n v="0.41010086455331413"/>
    <x v="4"/>
    <x v="1"/>
  </r>
  <r>
    <x v="15"/>
    <x v="19"/>
    <n v="4"/>
    <n v="387128"/>
    <n v="104524.56000000001"/>
    <n v="491652.56"/>
    <x v="1"/>
    <x v="1"/>
    <n v="113928"/>
    <n v="0.29429026058564611"/>
    <n v="0.41701317715959002"/>
    <x v="1"/>
    <x v="1"/>
  </r>
  <r>
    <x v="15"/>
    <x v="6"/>
    <n v="1"/>
    <n v="52504"/>
    <n v="14176.080000000002"/>
    <n v="66680.08"/>
    <x v="1"/>
    <x v="81"/>
    <n v="16904"/>
    <n v="0.32195642236781957"/>
    <n v="0.47483146067415732"/>
    <x v="2"/>
    <x v="0"/>
  </r>
  <r>
    <x v="15"/>
    <x v="20"/>
    <n v="2"/>
    <n v="142592"/>
    <n v="38499.840000000004"/>
    <n v="181091.84"/>
    <x v="1"/>
    <x v="1"/>
    <n v="45392"/>
    <n v="0.31833482944344704"/>
    <n v="0.46699588477366255"/>
    <x v="2"/>
    <x v="1"/>
  </r>
  <r>
    <x v="15"/>
    <x v="21"/>
    <n v="4"/>
    <n v="342924"/>
    <n v="92589.48000000001"/>
    <n v="435513.48"/>
    <x v="1"/>
    <x v="82"/>
    <n v="103324"/>
    <n v="0.30130291259870989"/>
    <n v="0.43123539232053421"/>
    <x v="6"/>
    <x v="0"/>
  </r>
  <r>
    <x v="15"/>
    <x v="0"/>
    <n v="3"/>
    <n v="154020"/>
    <n v="41585.4"/>
    <n v="195605.4"/>
    <x v="1"/>
    <x v="83"/>
    <n v="52620"/>
    <n v="0.34164394234515"/>
    <n v="0.5189349112426036"/>
    <x v="0"/>
    <x v="0"/>
  </r>
  <r>
    <x v="15"/>
    <x v="4"/>
    <n v="2"/>
    <n v="124680"/>
    <n v="33663.600000000006"/>
    <n v="158343.6"/>
    <x v="1"/>
    <x v="84"/>
    <n v="42280"/>
    <n v="0.33910811677895414"/>
    <n v="0.51310679611650489"/>
    <x v="3"/>
    <x v="0"/>
  </r>
  <r>
    <x v="15"/>
    <x v="3"/>
    <n v="3"/>
    <n v="259422"/>
    <n v="70043.94"/>
    <n v="329465.94"/>
    <x v="0"/>
    <x v="85"/>
    <n v="87222"/>
    <n v="0.33621666628119434"/>
    <n v="0.50651567944250875"/>
    <x v="2"/>
    <x v="0"/>
  </r>
  <r>
    <x v="15"/>
    <x v="1"/>
    <n v="3"/>
    <n v="192042"/>
    <n v="51851.340000000004"/>
    <n v="243893.34"/>
    <x v="1"/>
    <x v="86"/>
    <n v="59142"/>
    <n v="0.30796388290061549"/>
    <n v="0.44501128668171558"/>
    <x v="0"/>
    <x v="1"/>
  </r>
  <r>
    <x v="15"/>
    <x v="6"/>
    <n v="1"/>
    <n v="52504"/>
    <n v="14176.080000000002"/>
    <n v="66680.08"/>
    <x v="1"/>
    <x v="85"/>
    <n v="16904"/>
    <n v="0.32195642236781957"/>
    <n v="0.47483146067415732"/>
    <x v="2"/>
    <x v="0"/>
  </r>
  <r>
    <x v="16"/>
    <x v="2"/>
    <n v="1"/>
    <n v="94724"/>
    <n v="25575.480000000003"/>
    <n v="120299.48000000001"/>
    <x v="1"/>
    <x v="38"/>
    <n v="27224"/>
    <n v="0.28740340357248428"/>
    <n v="0.40331851851851852"/>
    <x v="1"/>
    <x v="2"/>
  </r>
  <r>
    <x v="16"/>
    <x v="5"/>
    <n v="1"/>
    <n v="80751"/>
    <n v="21802.77"/>
    <n v="102553.77"/>
    <x v="1"/>
    <x v="87"/>
    <n v="24951"/>
    <n v="0.3089868856113237"/>
    <n v="0.4471505376344086"/>
    <x v="3"/>
    <x v="2"/>
  </r>
  <r>
    <x v="16"/>
    <x v="8"/>
    <n v="1"/>
    <n v="74578"/>
    <n v="20136.060000000001"/>
    <n v="94714.06"/>
    <x v="1"/>
    <x v="88"/>
    <n v="24278"/>
    <n v="0.32553836251977797"/>
    <n v="0.48266401590457259"/>
    <x v="0"/>
    <x v="0"/>
  </r>
  <r>
    <x v="16"/>
    <x v="13"/>
    <n v="1"/>
    <n v="80499"/>
    <n v="21734.730000000003"/>
    <n v="102233.73000000001"/>
    <x v="0"/>
    <x v="89"/>
    <n v="24399"/>
    <n v="0.3030969328811538"/>
    <n v="0.4349197860962567"/>
    <x v="5"/>
    <x v="1"/>
  </r>
  <r>
    <x v="16"/>
    <x v="9"/>
    <n v="1"/>
    <n v="99105"/>
    <n v="26758.350000000002"/>
    <n v="125863.35"/>
    <x v="1"/>
    <x v="2"/>
    <n v="27905"/>
    <n v="0.28157005196508755"/>
    <n v="0.39192415730337077"/>
    <x v="4"/>
    <x v="1"/>
  </r>
  <r>
    <x v="17"/>
    <x v="10"/>
    <n v="3"/>
    <n v="190608"/>
    <n v="51464.160000000003"/>
    <n v="242072.16"/>
    <x v="0"/>
    <x v="90"/>
    <n v="61908"/>
    <n v="0.32479224376731303"/>
    <n v="0.48102564102564105"/>
    <x v="2"/>
    <x v="2"/>
  </r>
  <r>
    <x v="17"/>
    <x v="11"/>
    <n v="1"/>
    <n v="88946"/>
    <n v="24015.420000000002"/>
    <n v="112961.42"/>
    <x v="1"/>
    <x v="91"/>
    <n v="26846"/>
    <n v="0.30182357835090956"/>
    <n v="0.43230273752012882"/>
    <x v="2"/>
    <x v="1"/>
  </r>
  <r>
    <x v="17"/>
    <x v="12"/>
    <n v="3"/>
    <n v="282741"/>
    <n v="76340.070000000007"/>
    <n v="359081.07"/>
    <x v="1"/>
    <x v="57"/>
    <n v="82641"/>
    <n v="0.29228516557556211"/>
    <n v="0.41299850074962519"/>
    <x v="3"/>
    <x v="0"/>
  </r>
  <r>
    <x v="17"/>
    <x v="14"/>
    <n v="3"/>
    <n v="257523"/>
    <n v="69531.210000000006"/>
    <n v="327054.21000000002"/>
    <x v="0"/>
    <x v="92"/>
    <n v="76023"/>
    <n v="0.29520858331100525"/>
    <n v="0.41885950413223139"/>
    <x v="4"/>
    <x v="2"/>
  </r>
  <r>
    <x v="18"/>
    <x v="7"/>
    <n v="1"/>
    <n v="58708"/>
    <n v="15851.160000000002"/>
    <n v="74559.16"/>
    <x v="1"/>
    <x v="93"/>
    <n v="19308"/>
    <n v="0.3288819240989303"/>
    <n v="0.49005076142131981"/>
    <x v="2"/>
    <x v="1"/>
  </r>
  <r>
    <x v="18"/>
    <x v="5"/>
    <n v="1"/>
    <n v="80751"/>
    <n v="21802.77"/>
    <n v="102553.77"/>
    <x v="1"/>
    <x v="27"/>
    <n v="24951"/>
    <n v="0.3089868856113237"/>
    <n v="0.4471505376344086"/>
    <x v="3"/>
    <x v="2"/>
  </r>
  <r>
    <x v="18"/>
    <x v="15"/>
    <n v="4"/>
    <n v="352508"/>
    <n v="95177.16"/>
    <n v="447685.16000000003"/>
    <x v="1"/>
    <x v="94"/>
    <n v="109308"/>
    <n v="0.31008657959535668"/>
    <n v="0.44945723684210526"/>
    <x v="2"/>
    <x v="2"/>
  </r>
  <r>
    <x v="18"/>
    <x v="1"/>
    <n v="2"/>
    <n v="128028"/>
    <n v="34567.560000000005"/>
    <n v="162595.56"/>
    <x v="1"/>
    <x v="95"/>
    <n v="39428"/>
    <n v="0.30796388290061549"/>
    <n v="0.44501128668171558"/>
    <x v="0"/>
    <x v="1"/>
  </r>
  <r>
    <x v="18"/>
    <x v="16"/>
    <n v="4"/>
    <n v="244140"/>
    <n v="65917.8"/>
    <n v="310057.8"/>
    <x v="1"/>
    <x v="74"/>
    <n v="83340"/>
    <n v="0.34136151388547553"/>
    <n v="0.51828358208955227"/>
    <x v="5"/>
    <x v="1"/>
  </r>
  <r>
    <x v="18"/>
    <x v="17"/>
    <n v="1"/>
    <n v="97861"/>
    <n v="26422.47"/>
    <n v="124283.47"/>
    <x v="0"/>
    <x v="22"/>
    <n v="28461"/>
    <n v="0.29083087235977562"/>
    <n v="0.41010086455331413"/>
    <x v="4"/>
    <x v="1"/>
  </r>
  <r>
    <x v="18"/>
    <x v="18"/>
    <n v="1"/>
    <n v="88349"/>
    <n v="23854.230000000003"/>
    <n v="112203.23000000001"/>
    <x v="1"/>
    <x v="96"/>
    <n v="26649"/>
    <n v="0.30163329522688431"/>
    <n v="0.4319124797406807"/>
    <x v="3"/>
    <x v="1"/>
  </r>
  <r>
    <x v="18"/>
    <x v="19"/>
    <n v="3"/>
    <n v="290346"/>
    <n v="78393.42"/>
    <n v="368739.42"/>
    <x v="1"/>
    <x v="97"/>
    <n v="85446"/>
    <n v="0.29429026058564611"/>
    <n v="0.41701317715959002"/>
    <x v="1"/>
    <x v="1"/>
  </r>
  <r>
    <x v="18"/>
    <x v="6"/>
    <n v="1"/>
    <n v="52504"/>
    <n v="14176.080000000002"/>
    <n v="66680.08"/>
    <x v="0"/>
    <x v="98"/>
    <n v="16904"/>
    <n v="0.32195642236781957"/>
    <n v="0.47483146067415732"/>
    <x v="2"/>
    <x v="0"/>
  </r>
  <r>
    <x v="18"/>
    <x v="20"/>
    <n v="1"/>
    <n v="71296"/>
    <n v="19249.920000000002"/>
    <n v="90545.919999999998"/>
    <x v="0"/>
    <x v="99"/>
    <n v="22696"/>
    <n v="0.31833482944344704"/>
    <n v="0.46699588477366255"/>
    <x v="2"/>
    <x v="1"/>
  </r>
  <r>
    <x v="19"/>
    <x v="21"/>
    <n v="1"/>
    <n v="85731"/>
    <n v="23147.370000000003"/>
    <n v="108878.37"/>
    <x v="1"/>
    <x v="100"/>
    <n v="25831"/>
    <n v="0.30130291259870989"/>
    <n v="0.43123539232053421"/>
    <x v="6"/>
    <x v="0"/>
  </r>
  <r>
    <x v="19"/>
    <x v="0"/>
    <n v="4"/>
    <n v="205360"/>
    <n v="55447.200000000004"/>
    <n v="260807.2"/>
    <x v="0"/>
    <x v="101"/>
    <n v="70160"/>
    <n v="0.34164394234515"/>
    <n v="0.5189349112426036"/>
    <x v="0"/>
    <x v="0"/>
  </r>
  <r>
    <x v="19"/>
    <x v="4"/>
    <n v="4"/>
    <n v="249360"/>
    <n v="67327.200000000012"/>
    <n v="316687.2"/>
    <x v="1"/>
    <x v="102"/>
    <n v="84560"/>
    <n v="0.33910811677895414"/>
    <n v="0.51310679611650489"/>
    <x v="3"/>
    <x v="0"/>
  </r>
  <r>
    <x v="19"/>
    <x v="3"/>
    <n v="1"/>
    <n v="86474"/>
    <n v="23347.980000000003"/>
    <n v="109821.98000000001"/>
    <x v="1"/>
    <x v="100"/>
    <n v="29074"/>
    <n v="0.33621666628119434"/>
    <n v="0.50651567944250875"/>
    <x v="2"/>
    <x v="0"/>
  </r>
  <r>
    <x v="19"/>
    <x v="1"/>
    <n v="3"/>
    <n v="192042"/>
    <n v="51851.340000000004"/>
    <n v="243893.34"/>
    <x v="1"/>
    <x v="103"/>
    <n v="59142"/>
    <n v="0.30796388290061549"/>
    <n v="0.44501128668171558"/>
    <x v="0"/>
    <x v="1"/>
  </r>
  <r>
    <x v="19"/>
    <x v="6"/>
    <n v="1"/>
    <n v="52504"/>
    <n v="14176.080000000002"/>
    <n v="66680.08"/>
    <x v="1"/>
    <x v="104"/>
    <n v="16904"/>
    <n v="0.32195642236781957"/>
    <n v="0.47483146067415732"/>
    <x v="2"/>
    <x v="0"/>
  </r>
  <r>
    <x v="20"/>
    <x v="2"/>
    <n v="2"/>
    <n v="189448"/>
    <n v="51150.960000000006"/>
    <n v="240598.96000000002"/>
    <x v="0"/>
    <x v="105"/>
    <n v="54448"/>
    <n v="0.28740340357248428"/>
    <n v="0.40331851851851852"/>
    <x v="1"/>
    <x v="2"/>
  </r>
  <r>
    <x v="20"/>
    <x v="5"/>
    <n v="1"/>
    <n v="80751"/>
    <n v="21802.77"/>
    <n v="102553.77"/>
    <x v="1"/>
    <x v="5"/>
    <n v="24951"/>
    <n v="0.3089868856113237"/>
    <n v="0.4471505376344086"/>
    <x v="3"/>
    <x v="2"/>
  </r>
  <r>
    <x v="20"/>
    <x v="8"/>
    <n v="1"/>
    <n v="74578"/>
    <n v="20136.060000000001"/>
    <n v="94714.06"/>
    <x v="0"/>
    <x v="106"/>
    <n v="24278"/>
    <n v="0.32553836251977797"/>
    <n v="0.48266401590457259"/>
    <x v="0"/>
    <x v="0"/>
  </r>
  <r>
    <x v="21"/>
    <x v="13"/>
    <n v="4"/>
    <n v="321996"/>
    <n v="86938.920000000013"/>
    <n v="408934.92000000004"/>
    <x v="0"/>
    <x v="64"/>
    <n v="97596"/>
    <n v="0.3030969328811538"/>
    <n v="0.4349197860962567"/>
    <x v="5"/>
    <x v="1"/>
  </r>
  <r>
    <x v="21"/>
    <x v="9"/>
    <n v="1"/>
    <n v="99105"/>
    <n v="26758.350000000002"/>
    <n v="125863.35"/>
    <x v="1"/>
    <x v="107"/>
    <n v="27905"/>
    <n v="0.28157005196508755"/>
    <n v="0.39192415730337077"/>
    <x v="4"/>
    <x v="1"/>
  </r>
  <r>
    <x v="21"/>
    <x v="10"/>
    <n v="1"/>
    <n v="63536"/>
    <n v="17154.72"/>
    <n v="80690.720000000001"/>
    <x v="1"/>
    <x v="108"/>
    <n v="20636"/>
    <n v="0.32479224376731303"/>
    <n v="0.48102564102564105"/>
    <x v="2"/>
    <x v="2"/>
  </r>
  <r>
    <x v="21"/>
    <x v="11"/>
    <n v="2"/>
    <n v="177892"/>
    <n v="48030.840000000004"/>
    <n v="225922.84"/>
    <x v="1"/>
    <x v="109"/>
    <n v="53692"/>
    <n v="0.30182357835090956"/>
    <n v="0.43230273752012882"/>
    <x v="2"/>
    <x v="1"/>
  </r>
  <r>
    <x v="22"/>
    <x v="12"/>
    <n v="1"/>
    <n v="94247"/>
    <n v="25446.690000000002"/>
    <n v="119693.69"/>
    <x v="1"/>
    <x v="110"/>
    <n v="27547"/>
    <n v="0.29228516557556211"/>
    <n v="0.41299850074962519"/>
    <x v="3"/>
    <x v="0"/>
  </r>
  <r>
    <x v="22"/>
    <x v="14"/>
    <n v="3"/>
    <n v="257523"/>
    <n v="69531.210000000006"/>
    <n v="327054.21000000002"/>
    <x v="0"/>
    <x v="99"/>
    <n v="76023"/>
    <n v="0.29520858331100525"/>
    <n v="0.41885950413223139"/>
    <x v="4"/>
    <x v="2"/>
  </r>
  <r>
    <x v="22"/>
    <x v="7"/>
    <n v="2"/>
    <n v="117416"/>
    <n v="31702.320000000003"/>
    <n v="149118.32"/>
    <x v="0"/>
    <x v="111"/>
    <n v="38616"/>
    <n v="0.3288819240989303"/>
    <n v="0.49005076142131981"/>
    <x v="2"/>
    <x v="1"/>
  </r>
  <r>
    <x v="22"/>
    <x v="5"/>
    <n v="4"/>
    <n v="323004"/>
    <n v="87211.08"/>
    <n v="410215.08"/>
    <x v="0"/>
    <x v="21"/>
    <n v="99804"/>
    <n v="0.3089868856113237"/>
    <n v="0.4471505376344086"/>
    <x v="3"/>
    <x v="2"/>
  </r>
  <r>
    <x v="22"/>
    <x v="15"/>
    <n v="1"/>
    <n v="88127"/>
    <n v="23794.29"/>
    <n v="111921.29000000001"/>
    <x v="1"/>
    <x v="9"/>
    <n v="27327"/>
    <n v="0.31008657959535668"/>
    <n v="0.44945723684210526"/>
    <x v="2"/>
    <x v="2"/>
  </r>
  <r>
    <x v="22"/>
    <x v="1"/>
    <n v="2"/>
    <n v="128028"/>
    <n v="34567.560000000005"/>
    <n v="162595.56"/>
    <x v="1"/>
    <x v="112"/>
    <n v="39428"/>
    <n v="0.30796388290061549"/>
    <n v="0.44501128668171558"/>
    <x v="0"/>
    <x v="1"/>
  </r>
  <r>
    <x v="22"/>
    <x v="16"/>
    <n v="4"/>
    <n v="244140"/>
    <n v="65917.8"/>
    <n v="310057.8"/>
    <x v="1"/>
    <x v="113"/>
    <n v="83340"/>
    <n v="0.34136151388547553"/>
    <n v="0.51828358208955227"/>
    <x v="5"/>
    <x v="1"/>
  </r>
  <r>
    <x v="22"/>
    <x v="17"/>
    <n v="1"/>
    <n v="97861"/>
    <n v="26422.47"/>
    <n v="124283.47"/>
    <x v="1"/>
    <x v="114"/>
    <n v="28461"/>
    <n v="0.29083087235977562"/>
    <n v="0.41010086455331413"/>
    <x v="4"/>
    <x v="1"/>
  </r>
  <r>
    <x v="23"/>
    <x v="18"/>
    <n v="1"/>
    <n v="88349"/>
    <n v="23854.230000000003"/>
    <n v="112203.23000000001"/>
    <x v="0"/>
    <x v="115"/>
    <n v="26649"/>
    <n v="0.30163329522688431"/>
    <n v="0.4319124797406807"/>
    <x v="3"/>
    <x v="1"/>
  </r>
  <r>
    <x v="23"/>
    <x v="19"/>
    <n v="3"/>
    <n v="290346"/>
    <n v="78393.42"/>
    <n v="368739.42"/>
    <x v="0"/>
    <x v="116"/>
    <n v="85446"/>
    <n v="0.29429026058564611"/>
    <n v="0.41701317715959002"/>
    <x v="1"/>
    <x v="1"/>
  </r>
  <r>
    <x v="23"/>
    <x v="6"/>
    <n v="1"/>
    <n v="52504"/>
    <n v="14176.080000000002"/>
    <n v="66680.08"/>
    <x v="0"/>
    <x v="117"/>
    <n v="16904"/>
    <n v="0.32195642236781957"/>
    <n v="0.47483146067415732"/>
    <x v="2"/>
    <x v="0"/>
  </r>
  <r>
    <x v="23"/>
    <x v="20"/>
    <n v="1"/>
    <n v="71296"/>
    <n v="19249.920000000002"/>
    <n v="90545.919999999998"/>
    <x v="1"/>
    <x v="118"/>
    <n v="22696"/>
    <n v="0.31833482944344704"/>
    <n v="0.46699588477366255"/>
    <x v="2"/>
    <x v="1"/>
  </r>
  <r>
    <x v="23"/>
    <x v="21"/>
    <n v="4"/>
    <n v="342924"/>
    <n v="92589.48000000001"/>
    <n v="435513.48"/>
    <x v="1"/>
    <x v="119"/>
    <n v="103324"/>
    <n v="0.30130291259870989"/>
    <n v="0.43123539232053421"/>
    <x v="6"/>
    <x v="0"/>
  </r>
  <r>
    <x v="23"/>
    <x v="0"/>
    <n v="3"/>
    <n v="154020"/>
    <n v="41585.4"/>
    <n v="195605.4"/>
    <x v="0"/>
    <x v="113"/>
    <n v="52620"/>
    <n v="0.34164394234515"/>
    <n v="0.5189349112426036"/>
    <x v="0"/>
    <x v="0"/>
  </r>
  <r>
    <x v="23"/>
    <x v="4"/>
    <n v="4"/>
    <n v="249360"/>
    <n v="67327.200000000012"/>
    <n v="316687.2"/>
    <x v="0"/>
    <x v="120"/>
    <n v="84560"/>
    <n v="0.33910811677895414"/>
    <n v="0.51310679611650489"/>
    <x v="3"/>
    <x v="0"/>
  </r>
  <r>
    <x v="23"/>
    <x v="3"/>
    <n v="3"/>
    <n v="259422"/>
    <n v="70043.94"/>
    <n v="329465.94"/>
    <x v="1"/>
    <x v="121"/>
    <n v="87222"/>
    <n v="0.33621666628119434"/>
    <n v="0.50651567944250875"/>
    <x v="2"/>
    <x v="0"/>
  </r>
  <r>
    <x v="23"/>
    <x v="1"/>
    <n v="1"/>
    <n v="64014"/>
    <n v="17283.780000000002"/>
    <n v="81297.78"/>
    <x v="0"/>
    <x v="122"/>
    <n v="19714"/>
    <n v="0.30796388290061549"/>
    <n v="0.44501128668171558"/>
    <x v="0"/>
    <x v="1"/>
  </r>
  <r>
    <x v="24"/>
    <x v="6"/>
    <n v="1"/>
    <n v="52504"/>
    <n v="14176.080000000002"/>
    <n v="66680.08"/>
    <x v="1"/>
    <x v="58"/>
    <n v="16904"/>
    <n v="0.32195642236781957"/>
    <n v="0.47483146067415732"/>
    <x v="2"/>
    <x v="0"/>
  </r>
  <r>
    <x v="24"/>
    <x v="2"/>
    <n v="2"/>
    <n v="189448"/>
    <n v="51150.960000000006"/>
    <n v="240598.96000000002"/>
    <x v="0"/>
    <x v="123"/>
    <n v="54448"/>
    <n v="0.28740340357248428"/>
    <n v="0.40331851851851852"/>
    <x v="1"/>
    <x v="2"/>
  </r>
  <r>
    <x v="24"/>
    <x v="5"/>
    <n v="1"/>
    <n v="80751"/>
    <n v="21802.77"/>
    <n v="102553.77"/>
    <x v="0"/>
    <x v="124"/>
    <n v="24951"/>
    <n v="0.3089868856113237"/>
    <n v="0.4471505376344086"/>
    <x v="3"/>
    <x v="2"/>
  </r>
  <r>
    <x v="24"/>
    <x v="8"/>
    <n v="4"/>
    <n v="298312"/>
    <n v="80544.240000000005"/>
    <n v="378856.24"/>
    <x v="1"/>
    <x v="125"/>
    <n v="97112"/>
    <n v="0.32553836251977797"/>
    <n v="0.48266401590457259"/>
    <x v="0"/>
    <x v="0"/>
  </r>
  <r>
    <x v="24"/>
    <x v="13"/>
    <n v="2"/>
    <n v="160998"/>
    <n v="43469.460000000006"/>
    <n v="204467.46000000002"/>
    <x v="0"/>
    <x v="64"/>
    <n v="48798"/>
    <n v="0.3030969328811538"/>
    <n v="0.4349197860962567"/>
    <x v="5"/>
    <x v="1"/>
  </r>
  <r>
    <x v="25"/>
    <x v="9"/>
    <n v="2"/>
    <n v="198210"/>
    <n v="53516.700000000004"/>
    <n v="251726.7"/>
    <x v="0"/>
    <x v="120"/>
    <n v="55810"/>
    <n v="0.28157005196508755"/>
    <n v="0.39192415730337077"/>
    <x v="4"/>
    <x v="1"/>
  </r>
  <r>
    <x v="25"/>
    <x v="10"/>
    <n v="3"/>
    <n v="190608"/>
    <n v="51464.160000000003"/>
    <n v="242072.16"/>
    <x v="0"/>
    <x v="2"/>
    <n v="61908"/>
    <n v="0.32479224376731303"/>
    <n v="0.48102564102564105"/>
    <x v="2"/>
    <x v="2"/>
  </r>
  <r>
    <x v="25"/>
    <x v="11"/>
    <n v="3"/>
    <n v="266838"/>
    <n v="72046.260000000009"/>
    <n v="338884.26"/>
    <x v="1"/>
    <x v="126"/>
    <n v="80538"/>
    <n v="0.30182357835090956"/>
    <n v="0.43230273752012882"/>
    <x v="2"/>
    <x v="1"/>
  </r>
  <r>
    <x v="25"/>
    <x v="12"/>
    <n v="3"/>
    <n v="282741"/>
    <n v="76340.070000000007"/>
    <n v="359081.07"/>
    <x v="0"/>
    <x v="38"/>
    <n v="82641"/>
    <n v="0.29228516557556211"/>
    <n v="0.41299850074962519"/>
    <x v="3"/>
    <x v="0"/>
  </r>
  <r>
    <x v="25"/>
    <x v="14"/>
    <n v="3"/>
    <n v="257523"/>
    <n v="69531.210000000006"/>
    <n v="327054.21000000002"/>
    <x v="0"/>
    <x v="45"/>
    <n v="76023"/>
    <n v="0.29520858331100525"/>
    <n v="0.41885950413223139"/>
    <x v="4"/>
    <x v="2"/>
  </r>
  <r>
    <x v="26"/>
    <x v="7"/>
    <n v="2"/>
    <n v="117416"/>
    <n v="31702.320000000003"/>
    <n v="149118.32"/>
    <x v="1"/>
    <x v="127"/>
    <n v="38616"/>
    <n v="0.3288819240989303"/>
    <n v="0.49005076142131981"/>
    <x v="2"/>
    <x v="1"/>
  </r>
  <r>
    <x v="26"/>
    <x v="5"/>
    <n v="1"/>
    <n v="80751"/>
    <n v="21802.77"/>
    <n v="102553.77"/>
    <x v="1"/>
    <x v="25"/>
    <n v="24951"/>
    <n v="0.3089868856113237"/>
    <n v="0.4471505376344086"/>
    <x v="3"/>
    <x v="2"/>
  </r>
  <r>
    <x v="26"/>
    <x v="15"/>
    <n v="1"/>
    <n v="88127"/>
    <n v="23794.29"/>
    <n v="111921.29000000001"/>
    <x v="0"/>
    <x v="128"/>
    <n v="27327"/>
    <n v="0.31008657959535668"/>
    <n v="0.44945723684210526"/>
    <x v="2"/>
    <x v="2"/>
  </r>
  <r>
    <x v="26"/>
    <x v="1"/>
    <n v="1"/>
    <n v="64014"/>
    <n v="17283.780000000002"/>
    <n v="81297.78"/>
    <x v="1"/>
    <x v="129"/>
    <n v="19714"/>
    <n v="0.30796388290061549"/>
    <n v="0.44501128668171558"/>
    <x v="0"/>
    <x v="1"/>
  </r>
  <r>
    <x v="26"/>
    <x v="16"/>
    <n v="1"/>
    <n v="61035"/>
    <n v="16479.45"/>
    <n v="77514.45"/>
    <x v="0"/>
    <x v="130"/>
    <n v="20835"/>
    <n v="0.34136151388547553"/>
    <n v="0.51828358208955227"/>
    <x v="5"/>
    <x v="1"/>
  </r>
  <r>
    <x v="26"/>
    <x v="17"/>
    <n v="2"/>
    <n v="195722"/>
    <n v="52844.94"/>
    <n v="248566.94"/>
    <x v="1"/>
    <x v="34"/>
    <n v="56922"/>
    <n v="0.29083087235977562"/>
    <n v="0.41010086455331413"/>
    <x v="4"/>
    <x v="1"/>
  </r>
  <r>
    <x v="27"/>
    <x v="18"/>
    <n v="3"/>
    <n v="265047"/>
    <n v="71562.69"/>
    <n v="336609.69"/>
    <x v="1"/>
    <x v="17"/>
    <n v="79947"/>
    <n v="0.30163329522688431"/>
    <n v="0.4319124797406807"/>
    <x v="3"/>
    <x v="1"/>
  </r>
  <r>
    <x v="27"/>
    <x v="19"/>
    <n v="1"/>
    <n v="96782"/>
    <n v="26131.140000000003"/>
    <n v="122913.14"/>
    <x v="0"/>
    <x v="129"/>
    <n v="28482"/>
    <n v="0.29429026058564611"/>
    <n v="0.41701317715959002"/>
    <x v="1"/>
    <x v="1"/>
  </r>
  <r>
    <x v="27"/>
    <x v="6"/>
    <n v="1"/>
    <n v="52504"/>
    <n v="14176.080000000002"/>
    <n v="66680.08"/>
    <x v="0"/>
    <x v="131"/>
    <n v="16904"/>
    <n v="0.32195642236781957"/>
    <n v="0.47483146067415732"/>
    <x v="2"/>
    <x v="0"/>
  </r>
  <r>
    <x v="27"/>
    <x v="20"/>
    <n v="2"/>
    <n v="142592"/>
    <n v="38499.840000000004"/>
    <n v="181091.84"/>
    <x v="1"/>
    <x v="0"/>
    <n v="45392"/>
    <n v="0.31833482944344704"/>
    <n v="0.46699588477366255"/>
    <x v="2"/>
    <x v="1"/>
  </r>
  <r>
    <x v="27"/>
    <x v="21"/>
    <n v="1"/>
    <n v="85731"/>
    <n v="23147.370000000003"/>
    <n v="108878.37"/>
    <x v="1"/>
    <x v="132"/>
    <n v="25831"/>
    <n v="0.30130291259870989"/>
    <n v="0.43123539232053421"/>
    <x v="6"/>
    <x v="0"/>
  </r>
  <r>
    <x v="27"/>
    <x v="18"/>
    <n v="2"/>
    <n v="176698"/>
    <n v="47708.460000000006"/>
    <n v="224406.46000000002"/>
    <x v="1"/>
    <x v="133"/>
    <n v="53298"/>
    <n v="0.30163329522688431"/>
    <n v="0.4319124797406807"/>
    <x v="3"/>
    <x v="1"/>
  </r>
  <r>
    <x v="28"/>
    <x v="14"/>
    <n v="1"/>
    <n v="85841"/>
    <n v="23177.07"/>
    <n v="109018.07"/>
    <x v="1"/>
    <x v="134"/>
    <n v="25341"/>
    <n v="0.29520858331100525"/>
    <n v="0.41885950413223139"/>
    <x v="4"/>
    <x v="2"/>
  </r>
  <r>
    <x v="28"/>
    <x v="14"/>
    <n v="1"/>
    <n v="85841"/>
    <n v="23177.07"/>
    <n v="109018.07"/>
    <x v="1"/>
    <x v="135"/>
    <n v="25341"/>
    <n v="0.29520858331100525"/>
    <n v="0.41885950413223139"/>
    <x v="4"/>
    <x v="2"/>
  </r>
  <r>
    <x v="28"/>
    <x v="12"/>
    <n v="3"/>
    <n v="282741"/>
    <n v="76340.070000000007"/>
    <n v="359081.07"/>
    <x v="1"/>
    <x v="136"/>
    <n v="82641"/>
    <n v="0.29228516557556211"/>
    <n v="0.41299850074962519"/>
    <x v="3"/>
    <x v="0"/>
  </r>
  <r>
    <x v="29"/>
    <x v="6"/>
    <n v="4"/>
    <n v="210016"/>
    <n v="56704.320000000007"/>
    <n v="266720.32"/>
    <x v="1"/>
    <x v="12"/>
    <n v="67616"/>
    <n v="0.32195642236781957"/>
    <n v="0.47483146067415732"/>
    <x v="2"/>
    <x v="0"/>
  </r>
  <r>
    <x v="29"/>
    <x v="3"/>
    <n v="3"/>
    <n v="259422"/>
    <n v="70043.94"/>
    <n v="329465.94"/>
    <x v="1"/>
    <x v="47"/>
    <n v="87222"/>
    <n v="0.33621666628119434"/>
    <n v="0.50651567944250875"/>
    <x v="2"/>
    <x v="0"/>
  </r>
  <r>
    <x v="29"/>
    <x v="0"/>
    <n v="1"/>
    <n v="51340"/>
    <n v="13861.800000000001"/>
    <n v="65201.8"/>
    <x v="0"/>
    <x v="137"/>
    <n v="17540"/>
    <n v="0.34164394234515"/>
    <n v="0.5189349112426036"/>
    <x v="0"/>
    <x v="0"/>
  </r>
  <r>
    <x v="29"/>
    <x v="1"/>
    <n v="1"/>
    <n v="64014"/>
    <n v="17283.780000000002"/>
    <n v="81297.78"/>
    <x v="1"/>
    <x v="138"/>
    <n v="19714"/>
    <n v="0.30796388290061549"/>
    <n v="0.44501128668171558"/>
    <x v="0"/>
    <x v="1"/>
  </r>
  <r>
    <x v="29"/>
    <x v="16"/>
    <n v="1"/>
    <n v="61035"/>
    <n v="16479.45"/>
    <n v="77514.45"/>
    <x v="1"/>
    <x v="139"/>
    <n v="20835"/>
    <n v="0.34136151388547553"/>
    <n v="0.51828358208955227"/>
    <x v="5"/>
    <x v="1"/>
  </r>
  <r>
    <x v="29"/>
    <x v="20"/>
    <n v="1"/>
    <n v="71296"/>
    <n v="19249.920000000002"/>
    <n v="90545.919999999998"/>
    <x v="1"/>
    <x v="140"/>
    <n v="22696"/>
    <n v="0.31833482944344704"/>
    <n v="0.46699588477366255"/>
    <x v="2"/>
    <x v="1"/>
  </r>
  <r>
    <x v="29"/>
    <x v="12"/>
    <n v="3"/>
    <n v="282741"/>
    <n v="76340.070000000007"/>
    <n v="359081.07"/>
    <x v="1"/>
    <x v="75"/>
    <n v="82641"/>
    <n v="0.29228516557556211"/>
    <n v="0.41299850074962519"/>
    <x v="3"/>
    <x v="0"/>
  </r>
  <r>
    <x v="29"/>
    <x v="4"/>
    <n v="1"/>
    <n v="62340"/>
    <n v="16831.800000000003"/>
    <n v="79171.8"/>
    <x v="1"/>
    <x v="141"/>
    <n v="21140"/>
    <n v="0.33910811677895414"/>
    <n v="0.51310679611650489"/>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6F59D-9064-419B-BD4B-1AC7BD02DDC3}"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S3:T9" firstHeaderRow="1" firstDataRow="1" firstDataCol="1"/>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measureFilter="1" sortType="ascending">
      <items count="23">
        <item x="2"/>
        <item x="19"/>
        <item x="1"/>
        <item x="8"/>
        <item x="0"/>
        <item x="21"/>
        <item x="14"/>
        <item x="17"/>
        <item x="9"/>
        <item x="13"/>
        <item x="16"/>
        <item x="18"/>
        <item x="5"/>
        <item x="12"/>
        <item x="4"/>
        <item x="10"/>
        <item x="15"/>
        <item x="20"/>
        <item x="3"/>
        <item x="7"/>
        <item x="11"/>
        <item x="6"/>
        <item t="default"/>
      </items>
      <autoSortScope>
        <pivotArea dataOnly="0" outline="0" fieldPosition="0">
          <references count="1">
            <reference field="4294967294" count="1" selected="0">
              <x v="0"/>
            </reference>
          </references>
        </pivotArea>
      </autoSortScope>
    </pivotField>
    <pivotField dataField="1" numFmtId="164" showAll="0"/>
    <pivotField numFmtId="165" showAll="0"/>
    <pivotField numFmtId="165" showAll="0"/>
    <pivotField numFmtId="165" showAll="0"/>
    <pivotField showAll="0"/>
    <pivotField showAll="0"/>
    <pivotField numFmtId="165" showAll="0"/>
    <pivotField numFmtId="10" showAll="0"/>
    <pivotField numFmtId="10" showAll="0"/>
    <pivotField showAll="0"/>
    <pivotField showAll="0"/>
  </pivotFields>
  <rowFields count="1">
    <field x="1"/>
  </rowFields>
  <rowItems count="6">
    <i>
      <x v="10"/>
    </i>
    <i>
      <x v="3"/>
    </i>
    <i>
      <x v="14"/>
    </i>
    <i>
      <x v="5"/>
    </i>
    <i>
      <x v="12"/>
    </i>
    <i t="grand">
      <x/>
    </i>
  </rowItems>
  <colItems count="1">
    <i/>
  </colItems>
  <dataFields count="1">
    <dataField name="Sum of Mennyiség" fld="2"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552"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 fld="1" type="count" evalOrder="-1" id="14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473645-9CE7-4DB9-AAF8-0593C0F180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B12" firstHeaderRow="1" firstDataRow="1" firstDataCol="1"/>
  <pivotFields count="11">
    <pivotField showAll="0"/>
    <pivotField axis="axisRow" showAll="0" measureFilter="1" sortType="ascending">
      <items count="143">
        <item x="126"/>
        <item x="27"/>
        <item x="68"/>
        <item x="59"/>
        <item x="127"/>
        <item x="110"/>
        <item x="20"/>
        <item x="102"/>
        <item x="46"/>
        <item x="115"/>
        <item x="137"/>
        <item x="72"/>
        <item x="101"/>
        <item x="131"/>
        <item x="10"/>
        <item x="135"/>
        <item x="13"/>
        <item x="81"/>
        <item x="15"/>
        <item x="138"/>
        <item x="12"/>
        <item x="118"/>
        <item x="60"/>
        <item x="25"/>
        <item x="39"/>
        <item x="38"/>
        <item x="41"/>
        <item x="29"/>
        <item x="77"/>
        <item x="104"/>
        <item x="79"/>
        <item x="86"/>
        <item x="65"/>
        <item x="21"/>
        <item x="48"/>
        <item x="99"/>
        <item x="26"/>
        <item x="16"/>
        <item x="49"/>
        <item x="5"/>
        <item x="106"/>
        <item x="98"/>
        <item x="6"/>
        <item x="24"/>
        <item x="2"/>
        <item x="140"/>
        <item x="121"/>
        <item x="22"/>
        <item x="66"/>
        <item x="91"/>
        <item x="69"/>
        <item x="94"/>
        <item x="34"/>
        <item x="114"/>
        <item x="70"/>
        <item x="23"/>
        <item x="33"/>
        <item x="84"/>
        <item x="120"/>
        <item x="44"/>
        <item x="119"/>
        <item x="128"/>
        <item x="107"/>
        <item x="62"/>
        <item x="8"/>
        <item x="52"/>
        <item x="9"/>
        <item x="7"/>
        <item x="132"/>
        <item x="32"/>
        <item x="112"/>
        <item x="57"/>
        <item x="82"/>
        <item x="93"/>
        <item x="56"/>
        <item x="4"/>
        <item x="64"/>
        <item x="19"/>
        <item x="30"/>
        <item x="88"/>
        <item x="0"/>
        <item x="55"/>
        <item x="97"/>
        <item x="92"/>
        <item x="136"/>
        <item x="53"/>
        <item x="85"/>
        <item x="108"/>
        <item x="63"/>
        <item x="28"/>
        <item x="139"/>
        <item x="130"/>
        <item x="124"/>
        <item x="95"/>
        <item x="125"/>
        <item x="100"/>
        <item x="96"/>
        <item x="61"/>
        <item x="37"/>
        <item x="51"/>
        <item x="117"/>
        <item x="105"/>
        <item x="3"/>
        <item x="1"/>
        <item x="80"/>
        <item x="67"/>
        <item x="40"/>
        <item x="47"/>
        <item x="87"/>
        <item x="17"/>
        <item x="74"/>
        <item x="133"/>
        <item x="83"/>
        <item x="31"/>
        <item x="43"/>
        <item x="36"/>
        <item x="58"/>
        <item x="122"/>
        <item x="71"/>
        <item x="42"/>
        <item x="18"/>
        <item x="50"/>
        <item x="134"/>
        <item x="54"/>
        <item x="141"/>
        <item x="78"/>
        <item x="90"/>
        <item x="129"/>
        <item x="11"/>
        <item x="116"/>
        <item x="35"/>
        <item x="103"/>
        <item x="75"/>
        <item x="89"/>
        <item x="14"/>
        <item x="45"/>
        <item x="113"/>
        <item x="123"/>
        <item x="76"/>
        <item x="111"/>
        <item x="109"/>
        <item x="73"/>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5"/>
        <item x="7"/>
        <item x="0"/>
        <item x="2"/>
        <item x="4"/>
        <item x="1"/>
        <item x="6"/>
        <item x="3"/>
        <item t="default"/>
      </items>
    </pivotField>
    <pivotField showAll="0"/>
    <pivotField numFmtId="14" showAll="0"/>
    <pivotField showAll="0"/>
    <pivotField showAll="0"/>
    <pivotField showAll="0">
      <items count="4">
        <item x="2"/>
        <item x="1"/>
        <item x="0"/>
        <item t="default"/>
      </items>
    </pivotField>
    <pivotField dataField="1" showAll="0"/>
  </pivotFields>
  <rowFields count="1">
    <field x="1"/>
  </rowFields>
  <rowItems count="11">
    <i>
      <x v="135"/>
    </i>
    <i>
      <x v="109"/>
    </i>
    <i>
      <x v="102"/>
    </i>
    <i>
      <x v="52"/>
    </i>
    <i>
      <x v="71"/>
    </i>
    <i>
      <x v="66"/>
    </i>
    <i>
      <x v="33"/>
    </i>
    <i>
      <x v="103"/>
    </i>
    <i>
      <x v="76"/>
    </i>
    <i>
      <x v="25"/>
    </i>
    <i t="grand">
      <x/>
    </i>
  </rowItems>
  <colItems count="1">
    <i/>
  </colItems>
  <dataFields count="1">
    <dataField name="Sum of Összes költés" fld="10" baseField="0" baseItem="0"/>
  </dataFields>
  <chartFormats count="4">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0E8096-9328-4C4A-98E2-3986A37B6B34}"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32:C40" firstHeaderRow="1" firstDataRow="1" firstDataCol="1"/>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23">
        <item x="2"/>
        <item x="19"/>
        <item x="1"/>
        <item x="8"/>
        <item x="0"/>
        <item x="21"/>
        <item x="14"/>
        <item x="17"/>
        <item x="9"/>
        <item x="13"/>
        <item x="16"/>
        <item x="18"/>
        <item x="5"/>
        <item x="12"/>
        <item x="4"/>
        <item x="10"/>
        <item x="15"/>
        <item x="20"/>
        <item x="3"/>
        <item x="7"/>
        <item x="11"/>
        <item x="6"/>
        <item t="default"/>
      </items>
    </pivotField>
    <pivotField numFmtId="164" showAll="0"/>
    <pivotField numFmtId="165" showAll="0"/>
    <pivotField numFmtId="165" showAll="0"/>
    <pivotField numFmtId="165" showAll="0"/>
    <pivotField showAll="0"/>
    <pivotField showAll="0"/>
    <pivotField dataField="1" numFmtId="165" showAll="0"/>
    <pivotField numFmtId="10" showAll="0"/>
    <pivotField numFmtId="10" showAll="0"/>
    <pivotField axis="axisRow" showAll="0">
      <items count="8">
        <item x="1"/>
        <item x="0"/>
        <item x="6"/>
        <item x="4"/>
        <item x="5"/>
        <item x="3"/>
        <item x="2"/>
        <item t="default"/>
      </items>
    </pivotField>
    <pivotField showAll="0"/>
  </pivotFields>
  <rowFields count="1">
    <field x="11"/>
  </rowFields>
  <rowItems count="8">
    <i>
      <x/>
    </i>
    <i>
      <x v="1"/>
    </i>
    <i>
      <x v="2"/>
    </i>
    <i>
      <x v="3"/>
    </i>
    <i>
      <x v="4"/>
    </i>
    <i>
      <x v="5"/>
    </i>
    <i>
      <x v="6"/>
    </i>
    <i t="grand">
      <x/>
    </i>
  </rowItems>
  <colItems count="1">
    <i/>
  </colItems>
  <dataFields count="1">
    <dataField name="Sum of Profit" fld="8" baseField="0" baseItem="0" numFmtId="165"/>
  </dataFields>
  <chartFormats count="9">
    <chartFormat chart="0" format="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1" count="1" selected="0">
            <x v="0"/>
          </reference>
        </references>
      </pivotArea>
    </chartFormat>
    <chartFormat chart="8" format="11">
      <pivotArea type="data" outline="0" fieldPosition="0">
        <references count="2">
          <reference field="4294967294" count="1" selected="0">
            <x v="0"/>
          </reference>
          <reference field="11" count="1" selected="0">
            <x v="1"/>
          </reference>
        </references>
      </pivotArea>
    </chartFormat>
    <chartFormat chart="8" format="12">
      <pivotArea type="data" outline="0" fieldPosition="0">
        <references count="2">
          <reference field="4294967294" count="1" selected="0">
            <x v="0"/>
          </reference>
          <reference field="11" count="1" selected="0">
            <x v="2"/>
          </reference>
        </references>
      </pivotArea>
    </chartFormat>
    <chartFormat chart="8" format="13">
      <pivotArea type="data" outline="0" fieldPosition="0">
        <references count="2">
          <reference field="4294967294" count="1" selected="0">
            <x v="0"/>
          </reference>
          <reference field="11" count="1" selected="0">
            <x v="3"/>
          </reference>
        </references>
      </pivotArea>
    </chartFormat>
    <chartFormat chart="8" format="14">
      <pivotArea type="data" outline="0" fieldPosition="0">
        <references count="2">
          <reference field="4294967294" count="1" selected="0">
            <x v="0"/>
          </reference>
          <reference field="11" count="1" selected="0">
            <x v="4"/>
          </reference>
        </references>
      </pivotArea>
    </chartFormat>
    <chartFormat chart="8" format="15">
      <pivotArea type="data" outline="0" fieldPosition="0">
        <references count="2">
          <reference field="4294967294" count="1" selected="0">
            <x v="0"/>
          </reference>
          <reference field="11" count="1" selected="0">
            <x v="5"/>
          </reference>
        </references>
      </pivotArea>
    </chartFormat>
    <chartFormat chart="8" format="16">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filters count="1">
    <filter fld="0" type="dateBetween" evalOrder="-1" id="482"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84A3D0-6B7D-4B90-9AEA-128ECD071979}"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M3:N7" firstHeaderRow="1" firstDataRow="1" firstDataCol="1"/>
  <pivotFields count="13">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23">
        <item x="2"/>
        <item x="19"/>
        <item x="1"/>
        <item x="8"/>
        <item x="0"/>
        <item x="21"/>
        <item x="14"/>
        <item x="17"/>
        <item x="9"/>
        <item x="13"/>
        <item x="16"/>
        <item x="18"/>
        <item x="5"/>
        <item x="12"/>
        <item x="4"/>
        <item x="10"/>
        <item x="15"/>
        <item x="20"/>
        <item x="3"/>
        <item x="7"/>
        <item x="11"/>
        <item x="6"/>
        <item t="default"/>
      </items>
    </pivotField>
    <pivotField numFmtId="164" showAll="0"/>
    <pivotField dataField="1" numFmtId="165" showAll="0"/>
    <pivotField numFmtId="165" showAll="0"/>
    <pivotField numFmtId="165" showAll="0"/>
    <pivotField showAll="0"/>
    <pivotField showAll="0"/>
    <pivotField numFmtId="165" showAll="0"/>
    <pivotField numFmtId="10" showAll="0"/>
    <pivotField numFmtId="10" showAll="0"/>
    <pivotField showAll="0"/>
    <pivotField showAll="0"/>
  </pivotFields>
  <rowFields count="1">
    <field x="0"/>
  </rowFields>
  <rowItems count="4">
    <i>
      <x v="22"/>
    </i>
    <i>
      <x v="23"/>
    </i>
    <i>
      <x v="24"/>
    </i>
    <i t="grand">
      <x/>
    </i>
  </rowItems>
  <colItems count="1">
    <i/>
  </colItems>
  <dataFields count="1">
    <dataField name="Sum of Nettó Összeg" fld="3" baseField="0" baseItem="0" numFmtId="165"/>
  </dataField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481"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9FF0C9-7ED3-4A69-8239-4B2BAA64D2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7:I39" firstHeaderRow="1" firstDataRow="1" firstDataCol="1"/>
  <pivotFields count="11">
    <pivotField showAll="0"/>
    <pivotField showAll="0"/>
    <pivotField showAll="0"/>
    <pivotField showAll="0"/>
    <pivotField showAll="0">
      <items count="9">
        <item x="5"/>
        <item x="7"/>
        <item x="0"/>
        <item x="2"/>
        <item x="4"/>
        <item x="1"/>
        <item x="6"/>
        <item x="3"/>
        <item t="default"/>
      </items>
    </pivotField>
    <pivotField axis="axisRow" showAll="0" measureFilter="1" sortType="ascending">
      <items count="25">
        <item x="11"/>
        <item x="1"/>
        <item x="7"/>
        <item x="3"/>
        <item x="20"/>
        <item x="4"/>
        <item x="19"/>
        <item x="9"/>
        <item x="18"/>
        <item x="13"/>
        <item x="6"/>
        <item x="12"/>
        <item x="22"/>
        <item x="15"/>
        <item x="2"/>
        <item x="5"/>
        <item x="16"/>
        <item x="17"/>
        <item x="0"/>
        <item x="23"/>
        <item x="8"/>
        <item x="21"/>
        <item x="14"/>
        <item x="10"/>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showAll="0">
      <items count="4">
        <item x="2"/>
        <item x="1"/>
        <item x="0"/>
        <item t="default"/>
      </items>
    </pivotField>
    <pivotField showAll="0"/>
  </pivotFields>
  <rowFields count="1">
    <field x="5"/>
  </rowFields>
  <rowItems count="12">
    <i>
      <x v="22"/>
    </i>
    <i>
      <x v="9"/>
    </i>
    <i>
      <x v="8"/>
    </i>
    <i>
      <x/>
    </i>
    <i>
      <x v="3"/>
    </i>
    <i>
      <x v="7"/>
    </i>
    <i>
      <x v="2"/>
    </i>
    <i>
      <x v="14"/>
    </i>
    <i>
      <x v="18"/>
    </i>
    <i>
      <x v="15"/>
    </i>
    <i>
      <x v="5"/>
    </i>
    <i t="grand">
      <x/>
    </i>
  </rowItems>
  <colItems count="1">
    <i/>
  </colItems>
  <dataFields count="1">
    <dataField name="Sum of Rendelt mennyiség" fld="8"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E0B8C2-C142-41C7-A211-E81FFE6624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1:H12" firstHeaderRow="1" firstDataRow="1" firstDataCol="1"/>
  <pivotFields count="11">
    <pivotField showAll="0"/>
    <pivotField showAll="0"/>
    <pivotField showAll="0"/>
    <pivotField showAll="0"/>
    <pivotField showAll="0">
      <items count="9">
        <item x="5"/>
        <item x="7"/>
        <item x="0"/>
        <item x="2"/>
        <item x="4"/>
        <item x="1"/>
        <item x="6"/>
        <item x="3"/>
        <item t="default"/>
      </items>
    </pivotField>
    <pivotField axis="axisRow" showAll="0" measureFilter="1">
      <items count="25">
        <item x="11"/>
        <item x="1"/>
        <item x="7"/>
        <item x="3"/>
        <item x="20"/>
        <item x="4"/>
        <item x="19"/>
        <item x="9"/>
        <item x="18"/>
        <item x="13"/>
        <item x="6"/>
        <item x="12"/>
        <item x="22"/>
        <item x="15"/>
        <item x="2"/>
        <item x="5"/>
        <item x="16"/>
        <item x="17"/>
        <item x="0"/>
        <item x="23"/>
        <item x="8"/>
        <item x="21"/>
        <item x="14"/>
        <item x="10"/>
        <item t="default"/>
      </items>
    </pivotField>
    <pivotField numFmtId="14" showAll="0"/>
    <pivotField showAll="0"/>
    <pivotField showAll="0"/>
    <pivotField showAll="0">
      <items count="4">
        <item x="2"/>
        <item x="1"/>
        <item x="0"/>
        <item t="default"/>
      </items>
    </pivotField>
    <pivotField dataField="1" showAll="0"/>
  </pivotFields>
  <rowFields count="1">
    <field x="5"/>
  </rowFields>
  <rowItems count="11">
    <i>
      <x/>
    </i>
    <i>
      <x v="2"/>
    </i>
    <i>
      <x v="3"/>
    </i>
    <i>
      <x v="5"/>
    </i>
    <i>
      <x v="7"/>
    </i>
    <i>
      <x v="8"/>
    </i>
    <i>
      <x v="9"/>
    </i>
    <i>
      <x v="14"/>
    </i>
    <i>
      <x v="15"/>
    </i>
    <i>
      <x v="18"/>
    </i>
    <i t="grand">
      <x/>
    </i>
  </rowItems>
  <colItems count="1">
    <i/>
  </colItems>
  <dataFields count="1">
    <dataField name="Sum of Összes költés" fld="10" baseField="0" baseItem="0"/>
  </dataFields>
  <chartFormats count="17">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2"/>
          </reference>
        </references>
      </pivotArea>
    </chartFormat>
    <chartFormat chart="5" format="12">
      <pivotArea type="data" outline="0" fieldPosition="0">
        <references count="2">
          <reference field="4294967294" count="1" selected="0">
            <x v="0"/>
          </reference>
          <reference field="5" count="1" selected="0">
            <x v="5"/>
          </reference>
        </references>
      </pivotArea>
    </chartFormat>
    <chartFormat chart="5" format="13">
      <pivotArea type="data" outline="0" fieldPosition="0">
        <references count="2">
          <reference field="4294967294" count="1" selected="0">
            <x v="0"/>
          </reference>
          <reference field="5" count="1" selected="0">
            <x v="7"/>
          </reference>
        </references>
      </pivotArea>
    </chartFormat>
    <chartFormat chart="5" format="14">
      <pivotArea type="data" outline="0" fieldPosition="0">
        <references count="2">
          <reference field="4294967294" count="1" selected="0">
            <x v="0"/>
          </reference>
          <reference field="5" count="1" selected="0">
            <x v="14"/>
          </reference>
        </references>
      </pivotArea>
    </chartFormat>
    <chartFormat chart="5" format="15">
      <pivotArea type="data" outline="0" fieldPosition="0">
        <references count="2">
          <reference field="4294967294" count="1" selected="0">
            <x v="0"/>
          </reference>
          <reference field="5" count="1" selected="0">
            <x v="15"/>
          </reference>
        </references>
      </pivotArea>
    </chartFormat>
    <chartFormat chart="5" format="16">
      <pivotArea type="data" outline="0" fieldPosition="0">
        <references count="2">
          <reference field="4294967294" count="1" selected="0">
            <x v="0"/>
          </reference>
          <reference field="5" count="1" selected="0">
            <x v="18"/>
          </reference>
        </references>
      </pivotArea>
    </chartFormat>
    <chartFormat chart="5" format="20">
      <pivotArea type="data" outline="0" fieldPosition="0">
        <references count="2">
          <reference field="4294967294" count="1" selected="0">
            <x v="0"/>
          </reference>
          <reference field="5" count="1" selected="0">
            <x v="16"/>
          </reference>
        </references>
      </pivotArea>
    </chartFormat>
    <chartFormat chart="5" format="21">
      <pivotArea type="data" outline="0" fieldPosition="0">
        <references count="2">
          <reference field="4294967294" count="1" selected="0">
            <x v="0"/>
          </reference>
          <reference field="5" count="1" selected="0">
            <x v="21"/>
          </reference>
        </references>
      </pivotArea>
    </chartFormat>
    <chartFormat chart="5" format="22">
      <pivotArea type="data" outline="0" fieldPosition="0">
        <references count="2">
          <reference field="4294967294" count="1" selected="0">
            <x v="0"/>
          </reference>
          <reference field="5" count="1" selected="0">
            <x v="22"/>
          </reference>
        </references>
      </pivotArea>
    </chartFormat>
    <chartFormat chart="5" format="23">
      <pivotArea type="data" outline="0" fieldPosition="0">
        <references count="2">
          <reference field="4294967294" count="1" selected="0">
            <x v="0"/>
          </reference>
          <reference field="5" count="1" selected="0">
            <x v="1"/>
          </reference>
        </references>
      </pivotArea>
    </chartFormat>
    <chartFormat chart="5" format="24">
      <pivotArea type="data" outline="0" fieldPosition="0">
        <references count="2">
          <reference field="4294967294" count="1" selected="0">
            <x v="0"/>
          </reference>
          <reference field="5" count="1" selected="0">
            <x v="10"/>
          </reference>
        </references>
      </pivotArea>
    </chartFormat>
    <chartFormat chart="5" format="25">
      <pivotArea type="data" outline="0" fieldPosition="0">
        <references count="2">
          <reference field="4294967294" count="1" selected="0">
            <x v="0"/>
          </reference>
          <reference field="5" count="1" selected="0">
            <x v="23"/>
          </reference>
        </references>
      </pivotArea>
    </chartFormat>
    <chartFormat chart="5" format="26">
      <pivotArea type="data" outline="0" fieldPosition="0">
        <references count="2">
          <reference field="4294967294" count="1" selected="0">
            <x v="0"/>
          </reference>
          <reference field="5" count="1" selected="0">
            <x v="0"/>
          </reference>
        </references>
      </pivotArea>
    </chartFormat>
    <chartFormat chart="5" format="27">
      <pivotArea type="data" outline="0" fieldPosition="0">
        <references count="2">
          <reference field="4294967294" count="1" selected="0">
            <x v="0"/>
          </reference>
          <reference field="5" count="1" selected="0">
            <x v="3"/>
          </reference>
        </references>
      </pivotArea>
    </chartFormat>
    <chartFormat chart="5" format="28">
      <pivotArea type="data" outline="0" fieldPosition="0">
        <references count="2">
          <reference field="4294967294" count="1" selected="0">
            <x v="0"/>
          </reference>
          <reference field="5" count="1" selected="0">
            <x v="8"/>
          </reference>
        </references>
      </pivotArea>
    </chartFormat>
    <chartFormat chart="5" format="29">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CF4E94-6D4C-420E-9E74-129E246ED3E6}"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V3:W7" firstHeaderRow="1" firstDataRow="1" firstDataCol="1"/>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measureFilter="1" sortType="ascending">
      <items count="23">
        <item x="2"/>
        <item x="19"/>
        <item x="1"/>
        <item x="8"/>
        <item x="0"/>
        <item x="21"/>
        <item x="14"/>
        <item x="17"/>
        <item x="9"/>
        <item x="13"/>
        <item x="16"/>
        <item x="18"/>
        <item x="5"/>
        <item x="12"/>
        <item x="4"/>
        <item x="10"/>
        <item x="15"/>
        <item x="20"/>
        <item x="3"/>
        <item x="7"/>
        <item x="11"/>
        <item x="6"/>
        <item t="default"/>
      </items>
      <autoSortScope>
        <pivotArea dataOnly="0" outline="0" fieldPosition="0">
          <references count="1">
            <reference field="4294967294" count="1" selected="0">
              <x v="0"/>
            </reference>
          </references>
        </pivotArea>
      </autoSortScope>
    </pivotField>
    <pivotField numFmtId="164" showAll="0"/>
    <pivotField dataField="1" numFmtId="165" showAll="0"/>
    <pivotField numFmtId="165" showAll="0"/>
    <pivotField numFmtId="165" showAll="0"/>
    <pivotField showAll="0"/>
    <pivotField showAll="0"/>
    <pivotField numFmtId="165" showAll="0"/>
    <pivotField numFmtId="10" showAll="0"/>
    <pivotField numFmtId="10" showAll="0"/>
    <pivotField showAll="0"/>
    <pivotField showAll="0"/>
  </pivotFields>
  <rowFields count="1">
    <field x="1"/>
  </rowFields>
  <rowItems count="4">
    <i>
      <x v="3"/>
    </i>
    <i>
      <x v="5"/>
    </i>
    <i>
      <x v="12"/>
    </i>
    <i t="grand">
      <x/>
    </i>
  </rowItems>
  <colItems count="1">
    <i/>
  </colItems>
  <dataFields count="1">
    <dataField name="Sum of Nettó Összeg" fld="3" baseField="0" baseItem="0" numFmtId="165"/>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552"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 fld="1" type="count" evalOrder="-1" id="14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F969C0-112C-4F60-A944-D5E67B752528}"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D32:E36" firstHeaderRow="1" firstDataRow="1" firstDataCol="1"/>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23">
        <item x="2"/>
        <item x="19"/>
        <item x="1"/>
        <item x="8"/>
        <item x="0"/>
        <item x="21"/>
        <item x="14"/>
        <item x="17"/>
        <item x="9"/>
        <item x="13"/>
        <item x="16"/>
        <item x="18"/>
        <item x="5"/>
        <item x="12"/>
        <item x="4"/>
        <item x="10"/>
        <item x="15"/>
        <item x="20"/>
        <item x="3"/>
        <item x="7"/>
        <item x="11"/>
        <item x="6"/>
        <item t="default"/>
      </items>
    </pivotField>
    <pivotField numFmtId="164" showAll="0"/>
    <pivotField numFmtId="165" showAll="0"/>
    <pivotField numFmtId="165" showAll="0"/>
    <pivotField numFmtId="165" showAll="0"/>
    <pivotField showAll="0"/>
    <pivotField showAll="0"/>
    <pivotField dataField="1" numFmtId="165" showAll="0"/>
    <pivotField numFmtId="10" showAll="0"/>
    <pivotField numFmtId="10" showAll="0"/>
    <pivotField showAll="0"/>
    <pivotField axis="axisRow" showAll="0">
      <items count="4">
        <item x="2"/>
        <item x="1"/>
        <item x="0"/>
        <item t="default"/>
      </items>
    </pivotField>
  </pivotFields>
  <rowFields count="1">
    <field x="12"/>
  </rowFields>
  <rowItems count="4">
    <i>
      <x/>
    </i>
    <i>
      <x v="1"/>
    </i>
    <i>
      <x v="2"/>
    </i>
    <i t="grand">
      <x/>
    </i>
  </rowItems>
  <colItems count="1">
    <i/>
  </colItems>
  <dataFields count="1">
    <dataField name="Sum of Profit" fld="8" baseField="0" baseItem="0" numFmtId="165"/>
  </dataFields>
  <chartFormats count="6">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2" count="1" selected="0">
            <x v="0"/>
          </reference>
        </references>
      </pivotArea>
    </chartFormat>
    <chartFormat chart="14" format="7">
      <pivotArea type="data" outline="0" fieldPosition="0">
        <references count="2">
          <reference field="4294967294" count="1" selected="0">
            <x v="0"/>
          </reference>
          <reference field="12" count="1" selected="0">
            <x v="1"/>
          </reference>
        </references>
      </pivotArea>
    </chartFormat>
    <chartFormat chart="14"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0" type="dateBetween" evalOrder="-1" id="482"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C8ACF4-C03C-494A-AA64-9B045B6CFA3E}"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P3:Q7" firstHeaderRow="1" firstDataRow="1" firstDataCol="1"/>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measureFilter="1" sortType="ascending">
      <items count="23">
        <item x="2"/>
        <item x="19"/>
        <item x="1"/>
        <item x="8"/>
        <item x="0"/>
        <item x="21"/>
        <item x="14"/>
        <item x="17"/>
        <item x="9"/>
        <item x="13"/>
        <item x="16"/>
        <item x="18"/>
        <item x="5"/>
        <item x="12"/>
        <item x="4"/>
        <item x="10"/>
        <item x="15"/>
        <item x="20"/>
        <item x="3"/>
        <item x="7"/>
        <item x="11"/>
        <item x="6"/>
        <item t="default"/>
      </items>
      <autoSortScope>
        <pivotArea dataOnly="0" outline="0" fieldPosition="0">
          <references count="1">
            <reference field="4294967294" count="1" selected="0">
              <x v="0"/>
            </reference>
          </references>
        </pivotArea>
      </autoSortScope>
    </pivotField>
    <pivotField numFmtId="164" showAll="0"/>
    <pivotField numFmtId="165" showAll="0"/>
    <pivotField numFmtId="165" showAll="0"/>
    <pivotField numFmtId="165" showAll="0"/>
    <pivotField showAll="0"/>
    <pivotField showAll="0"/>
    <pivotField dataField="1" numFmtId="165" showAll="0"/>
    <pivotField numFmtId="10" showAll="0"/>
    <pivotField numFmtId="10" showAll="0"/>
    <pivotField showAll="0"/>
    <pivotField showAll="0"/>
  </pivotFields>
  <rowFields count="1">
    <field x="1"/>
  </rowFields>
  <rowItems count="4">
    <i>
      <x v="3"/>
    </i>
    <i>
      <x v="5"/>
    </i>
    <i>
      <x v="12"/>
    </i>
    <i t="grand">
      <x/>
    </i>
  </rowItems>
  <colItems count="1">
    <i/>
  </colItems>
  <dataFields count="1">
    <dataField name="Sum of Profit" fld="8"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552"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 fld="1" type="count" evalOrder="-1" id="14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C1CA0B-5EA7-4DD0-BEFA-569D3FB4E9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E5" firstHeaderRow="1" firstDataRow="1" firstDataCol="1"/>
  <pivotFields count="11">
    <pivotField showAll="0"/>
    <pivotField showAll="0"/>
    <pivotField showAll="0"/>
    <pivotField showAll="0"/>
    <pivotField showAll="0">
      <items count="9">
        <item x="5"/>
        <item x="7"/>
        <item x="0"/>
        <item x="2"/>
        <item x="4"/>
        <item x="1"/>
        <item x="6"/>
        <item x="3"/>
        <item t="default"/>
      </items>
    </pivotField>
    <pivotField showAll="0"/>
    <pivotField numFmtId="14" showAll="0"/>
    <pivotField showAll="0"/>
    <pivotField showAll="0"/>
    <pivotField axis="axisRow" showAll="0">
      <items count="4">
        <item x="2"/>
        <item x="1"/>
        <item x="0"/>
        <item t="default"/>
      </items>
    </pivotField>
    <pivotField dataField="1" showAll="0"/>
  </pivotFields>
  <rowFields count="1">
    <field x="9"/>
  </rowFields>
  <rowItems count="4">
    <i>
      <x/>
    </i>
    <i>
      <x v="1"/>
    </i>
    <i>
      <x v="2"/>
    </i>
    <i t="grand">
      <x/>
    </i>
  </rowItems>
  <colItems count="1">
    <i/>
  </colItems>
  <dataFields count="1">
    <dataField name="Sum of Összes költés" fld="10"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F475BE-9F0C-452A-9392-84A50C56FC91}" name="Rendelések Pivot" cacheId="1" applyNumberFormats="0" applyBorderFormats="0" applyFontFormats="0" applyPatternFormats="0" applyAlignmentFormats="0" applyWidthHeightFormats="1" dataCaption="Values" grandTotalCaption="Teljes bevétel" updatedVersion="8" minRefreshableVersion="5" useAutoFormatting="1" itemPrintTitles="1" createdVersion="8" indent="0" outline="1" outlineData="1" multipleFieldFilters="0" chartFormat="9" rowHeaderCaption="Eladások">
  <location ref="A3:E211" firstHeaderRow="0" firstDataRow="1" firstDataCol="1"/>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extLst>
        <ext xmlns:x14="http://schemas.microsoft.com/office/spreadsheetml/2009/9/main" uri="{2946ED86-A175-432a-8AC1-64E0C546D7DE}">
          <x14:pivotField fillDownLabels="1"/>
        </ext>
      </extLst>
    </pivotField>
    <pivotField axis="axisRow" showAll="0">
      <items count="23">
        <item x="2"/>
        <item x="19"/>
        <item x="1"/>
        <item x="8"/>
        <item x="0"/>
        <item x="21"/>
        <item x="14"/>
        <item x="17"/>
        <item x="9"/>
        <item x="13"/>
        <item x="16"/>
        <item x="18"/>
        <item x="5"/>
        <item x="12"/>
        <item x="4"/>
        <item x="10"/>
        <item x="15"/>
        <item x="20"/>
        <item x="3"/>
        <item x="7"/>
        <item x="11"/>
        <item x="6"/>
        <item t="default"/>
      </items>
      <extLst>
        <ext xmlns:x14="http://schemas.microsoft.com/office/spreadsheetml/2009/9/main" uri="{2946ED86-A175-432a-8AC1-64E0C546D7DE}">
          <x14:pivotField fillDownLabels="1"/>
        </ext>
      </extLst>
    </pivotField>
    <pivotField dataField="1" numFmtId="164" showAll="0">
      <extLst>
        <ext xmlns:x14="http://schemas.microsoft.com/office/spreadsheetml/2009/9/main" uri="{2946ED86-A175-432a-8AC1-64E0C546D7DE}">
          <x14:pivotField fillDownLabels="1"/>
        </ext>
      </extLst>
    </pivotField>
    <pivotField dataField="1"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items count="3">
        <item x="1"/>
        <item x="0"/>
        <item t="default"/>
      </items>
      <extLst>
        <ext xmlns:x14="http://schemas.microsoft.com/office/spreadsheetml/2009/9/main" uri="{2946ED86-A175-432a-8AC1-64E0C546D7DE}">
          <x14:pivotField fillDownLabels="1"/>
        </ext>
      </extLst>
    </pivotField>
    <pivotField axis="axisRow" showAll="0">
      <items count="143">
        <item x="73"/>
        <item x="109"/>
        <item x="111"/>
        <item x="76"/>
        <item x="123"/>
        <item x="113"/>
        <item x="45"/>
        <item x="14"/>
        <item x="89"/>
        <item x="75"/>
        <item x="103"/>
        <item x="35"/>
        <item x="116"/>
        <item x="11"/>
        <item x="129"/>
        <item x="90"/>
        <item x="78"/>
        <item x="141"/>
        <item x="54"/>
        <item x="134"/>
        <item x="50"/>
        <item x="18"/>
        <item x="42"/>
        <item x="71"/>
        <item x="122"/>
        <item x="58"/>
        <item x="36"/>
        <item x="43"/>
        <item x="31"/>
        <item x="83"/>
        <item x="133"/>
        <item x="74"/>
        <item x="17"/>
        <item x="87"/>
        <item x="47"/>
        <item x="40"/>
        <item x="67"/>
        <item x="80"/>
        <item x="1"/>
        <item x="3"/>
        <item x="105"/>
        <item x="117"/>
        <item x="51"/>
        <item x="37"/>
        <item x="61"/>
        <item x="96"/>
        <item x="100"/>
        <item x="125"/>
        <item x="95"/>
        <item x="124"/>
        <item x="130"/>
        <item x="139"/>
        <item x="28"/>
        <item x="63"/>
        <item x="108"/>
        <item x="85"/>
        <item x="53"/>
        <item x="136"/>
        <item x="92"/>
        <item x="97"/>
        <item x="55"/>
        <item x="0"/>
        <item x="88"/>
        <item x="30"/>
        <item x="19"/>
        <item x="64"/>
        <item x="4"/>
        <item x="56"/>
        <item x="93"/>
        <item x="82"/>
        <item x="57"/>
        <item x="112"/>
        <item x="32"/>
        <item x="132"/>
        <item x="7"/>
        <item x="9"/>
        <item x="52"/>
        <item x="8"/>
        <item x="62"/>
        <item x="107"/>
        <item x="128"/>
        <item x="119"/>
        <item x="44"/>
        <item x="120"/>
        <item x="84"/>
        <item x="33"/>
        <item x="23"/>
        <item x="70"/>
        <item x="114"/>
        <item x="34"/>
        <item x="94"/>
        <item x="69"/>
        <item x="91"/>
        <item x="66"/>
        <item x="22"/>
        <item x="121"/>
        <item x="140"/>
        <item x="2"/>
        <item x="24"/>
        <item x="6"/>
        <item x="98"/>
        <item x="106"/>
        <item x="5"/>
        <item x="49"/>
        <item x="16"/>
        <item x="26"/>
        <item x="99"/>
        <item x="48"/>
        <item x="21"/>
        <item x="65"/>
        <item x="86"/>
        <item x="79"/>
        <item x="104"/>
        <item x="77"/>
        <item x="29"/>
        <item x="41"/>
        <item x="38"/>
        <item x="39"/>
        <item x="25"/>
        <item x="60"/>
        <item x="118"/>
        <item x="12"/>
        <item x="138"/>
        <item x="15"/>
        <item x="81"/>
        <item x="13"/>
        <item x="135"/>
        <item x="10"/>
        <item x="131"/>
        <item x="101"/>
        <item x="72"/>
        <item x="137"/>
        <item x="115"/>
        <item x="46"/>
        <item x="102"/>
        <item x="20"/>
        <item x="110"/>
        <item x="127"/>
        <item x="59"/>
        <item x="68"/>
        <item x="27"/>
        <item x="126"/>
        <item t="default"/>
      </items>
      <extLst>
        <ext xmlns:x14="http://schemas.microsoft.com/office/spreadsheetml/2009/9/main" uri="{2946ED86-A175-432a-8AC1-64E0C546D7DE}">
          <x14:pivotField fillDownLabels="1"/>
        </ext>
      </extLst>
    </pivotField>
    <pivotField dataField="1" numFmtId="165" showAll="0">
      <extLst>
        <ext xmlns:x14="http://schemas.microsoft.com/office/spreadsheetml/2009/9/main" uri="{2946ED86-A175-432a-8AC1-64E0C546D7DE}">
          <x14:pivotField fillDownLabels="1"/>
        </ext>
      </extLst>
    </pivotField>
    <pivotField numFmtId="10" showAll="0">
      <extLst>
        <ext xmlns:x14="http://schemas.microsoft.com/office/spreadsheetml/2009/9/main" uri="{2946ED86-A175-432a-8AC1-64E0C546D7DE}">
          <x14:pivotField fillDownLabels="1"/>
        </ext>
      </extLst>
    </pivotField>
    <pivotField numFmtId="10" showAll="0">
      <extLst>
        <ext xmlns:x14="http://schemas.microsoft.com/office/spreadsheetml/2009/9/main" uri="{2946ED86-A175-432a-8AC1-64E0C546D7DE}">
          <x14:pivotField fillDownLabels="1"/>
        </ext>
      </extLst>
    </pivotField>
    <pivotField showAll="0">
      <items count="8">
        <item x="1"/>
        <item x="0"/>
        <item x="6"/>
        <item x="4"/>
        <item x="5"/>
        <item x="3"/>
        <item x="2"/>
        <item t="default"/>
      </items>
      <extLst>
        <ext xmlns:x14="http://schemas.microsoft.com/office/spreadsheetml/2009/9/main" uri="{2946ED86-A175-432a-8AC1-64E0C546D7DE}">
          <x14:pivotField fillDownLabels="1"/>
        </ext>
      </extLst>
    </pivotField>
    <pivotField showAll="0">
      <items count="4">
        <item x="2"/>
        <item x="1"/>
        <item x="0"/>
        <item t="default"/>
      </items>
      <extLst>
        <ext xmlns:x14="http://schemas.microsoft.com/office/spreadsheetml/2009/9/main" uri="{2946ED86-A175-432a-8AC1-64E0C546D7DE}">
          <x14:pivotField fillDownLabels="1"/>
        </ext>
      </extLst>
    </pivotField>
  </pivotFields>
  <rowFields count="2">
    <field x="1"/>
    <field x="7"/>
  </rowFields>
  <rowItems count="208">
    <i>
      <x/>
    </i>
    <i r="1">
      <x v="4"/>
    </i>
    <i r="1">
      <x v="11"/>
    </i>
    <i r="1">
      <x v="40"/>
    </i>
    <i r="1">
      <x v="56"/>
    </i>
    <i r="1">
      <x v="97"/>
    </i>
    <i r="1">
      <x v="116"/>
    </i>
    <i r="1">
      <x v="138"/>
    </i>
    <i>
      <x v="1"/>
    </i>
    <i r="1">
      <x v="12"/>
    </i>
    <i r="1">
      <x v="14"/>
    </i>
    <i r="1">
      <x v="27"/>
    </i>
    <i r="1">
      <x v="38"/>
    </i>
    <i r="1">
      <x v="59"/>
    </i>
    <i r="1">
      <x v="93"/>
    </i>
    <i r="1">
      <x v="94"/>
    </i>
    <i>
      <x v="2"/>
    </i>
    <i r="1">
      <x v="10"/>
    </i>
    <i r="1">
      <x v="14"/>
    </i>
    <i r="1">
      <x v="16"/>
    </i>
    <i r="1">
      <x v="21"/>
    </i>
    <i r="1">
      <x v="24"/>
    </i>
    <i r="1">
      <x v="38"/>
    </i>
    <i r="1">
      <x v="48"/>
    </i>
    <i r="1">
      <x v="52"/>
    </i>
    <i r="1">
      <x v="65"/>
    </i>
    <i r="1">
      <x v="67"/>
    </i>
    <i r="1">
      <x v="71"/>
    </i>
    <i r="1">
      <x v="72"/>
    </i>
    <i r="1">
      <x v="110"/>
    </i>
    <i r="1">
      <x v="117"/>
    </i>
    <i r="1">
      <x v="122"/>
    </i>
    <i>
      <x v="3"/>
    </i>
    <i r="1">
      <x v="23"/>
    </i>
    <i r="1">
      <x v="47"/>
    </i>
    <i r="1">
      <x v="60"/>
    </i>
    <i r="1">
      <x v="62"/>
    </i>
    <i r="1">
      <x v="77"/>
    </i>
    <i r="1">
      <x v="85"/>
    </i>
    <i r="1">
      <x v="101"/>
    </i>
    <i>
      <x v="4"/>
    </i>
    <i r="1">
      <x v="5"/>
    </i>
    <i r="1">
      <x v="29"/>
    </i>
    <i r="1">
      <x v="61"/>
    </i>
    <i r="1">
      <x v="91"/>
    </i>
    <i r="1">
      <x v="103"/>
    </i>
    <i r="1">
      <x v="118"/>
    </i>
    <i r="1">
      <x v="129"/>
    </i>
    <i r="1">
      <x v="131"/>
    </i>
    <i>
      <x v="5"/>
    </i>
    <i r="1">
      <x v="39"/>
    </i>
    <i r="1">
      <x v="46"/>
    </i>
    <i r="1">
      <x v="69"/>
    </i>
    <i r="1">
      <x v="73"/>
    </i>
    <i r="1">
      <x v="81"/>
    </i>
    <i r="1">
      <x v="98"/>
    </i>
    <i r="1">
      <x v="107"/>
    </i>
    <i>
      <x v="6"/>
    </i>
    <i r="1">
      <x v="6"/>
    </i>
    <i r="1">
      <x v="7"/>
    </i>
    <i r="1">
      <x v="19"/>
    </i>
    <i r="1">
      <x v="35"/>
    </i>
    <i r="1">
      <x v="44"/>
    </i>
    <i r="1">
      <x v="58"/>
    </i>
    <i r="1">
      <x v="75"/>
    </i>
    <i r="1">
      <x v="106"/>
    </i>
    <i r="1">
      <x v="126"/>
    </i>
    <i>
      <x v="7"/>
    </i>
    <i r="1">
      <x v="37"/>
    </i>
    <i r="1">
      <x v="88"/>
    </i>
    <i r="1">
      <x v="89"/>
    </i>
    <i r="1">
      <x v="94"/>
    </i>
    <i r="1">
      <x v="125"/>
    </i>
    <i r="1">
      <x v="133"/>
    </i>
    <i r="1">
      <x v="135"/>
    </i>
    <i>
      <x v="8"/>
    </i>
    <i r="1">
      <x/>
    </i>
    <i r="1">
      <x v="67"/>
    </i>
    <i r="1">
      <x v="75"/>
    </i>
    <i r="1">
      <x v="79"/>
    </i>
    <i r="1">
      <x v="83"/>
    </i>
    <i r="1">
      <x v="89"/>
    </i>
    <i r="1">
      <x v="97"/>
    </i>
    <i>
      <x v="9"/>
    </i>
    <i r="1">
      <x v="8"/>
    </i>
    <i r="1">
      <x v="65"/>
    </i>
    <i r="1">
      <x v="70"/>
    </i>
    <i r="1">
      <x v="125"/>
    </i>
    <i r="1">
      <x v="130"/>
    </i>
    <i r="1">
      <x v="140"/>
    </i>
    <i>
      <x v="10"/>
    </i>
    <i r="1">
      <x v="5"/>
    </i>
    <i r="1">
      <x v="6"/>
    </i>
    <i r="1">
      <x v="31"/>
    </i>
    <i r="1">
      <x v="32"/>
    </i>
    <i r="1">
      <x v="50"/>
    </i>
    <i r="1">
      <x v="51"/>
    </i>
    <i r="1">
      <x v="89"/>
    </i>
    <i r="1">
      <x v="109"/>
    </i>
    <i>
      <x v="11"/>
    </i>
    <i r="1">
      <x v="27"/>
    </i>
    <i r="1">
      <x v="30"/>
    </i>
    <i r="1">
      <x v="32"/>
    </i>
    <i r="1">
      <x v="45"/>
    </i>
    <i r="1">
      <x v="78"/>
    </i>
    <i r="1">
      <x v="108"/>
    </i>
    <i r="1">
      <x v="111"/>
    </i>
    <i r="1">
      <x v="132"/>
    </i>
    <i>
      <x v="12"/>
    </i>
    <i r="1">
      <x v="18"/>
    </i>
    <i r="1">
      <x v="22"/>
    </i>
    <i r="1">
      <x v="26"/>
    </i>
    <i r="1">
      <x v="33"/>
    </i>
    <i r="1">
      <x v="49"/>
    </i>
    <i r="1">
      <x v="64"/>
    </i>
    <i r="1">
      <x v="72"/>
    </i>
    <i r="1">
      <x v="78"/>
    </i>
    <i r="1">
      <x v="102"/>
    </i>
    <i r="1">
      <x v="108"/>
    </i>
    <i r="1">
      <x v="118"/>
    </i>
    <i r="1">
      <x v="123"/>
    </i>
    <i r="1">
      <x v="140"/>
    </i>
    <i>
      <x v="13"/>
    </i>
    <i r="1">
      <x v="3"/>
    </i>
    <i r="1">
      <x v="9"/>
    </i>
    <i r="1">
      <x v="43"/>
    </i>
    <i r="1">
      <x v="57"/>
    </i>
    <i r="1">
      <x v="70"/>
    </i>
    <i r="1">
      <x v="116"/>
    </i>
    <i r="1">
      <x v="121"/>
    </i>
    <i r="1">
      <x v="136"/>
    </i>
    <i r="1">
      <x v="138"/>
    </i>
    <i>
      <x v="14"/>
    </i>
    <i r="1">
      <x v="17"/>
    </i>
    <i r="1">
      <x v="42"/>
    </i>
    <i r="1">
      <x v="66"/>
    </i>
    <i r="1">
      <x v="83"/>
    </i>
    <i r="1">
      <x v="84"/>
    </i>
    <i r="1">
      <x v="87"/>
    </i>
    <i r="1">
      <x v="105"/>
    </i>
    <i r="1">
      <x v="134"/>
    </i>
    <i>
      <x v="15"/>
    </i>
    <i r="1">
      <x v="15"/>
    </i>
    <i r="1">
      <x v="25"/>
    </i>
    <i r="1">
      <x v="28"/>
    </i>
    <i r="1">
      <x v="31"/>
    </i>
    <i r="1">
      <x v="54"/>
    </i>
    <i r="1">
      <x v="97"/>
    </i>
    <i r="1">
      <x v="127"/>
    </i>
    <i>
      <x v="16"/>
    </i>
    <i r="1">
      <x v="53"/>
    </i>
    <i r="1">
      <x v="75"/>
    </i>
    <i r="1">
      <x v="80"/>
    </i>
    <i r="1">
      <x v="90"/>
    </i>
    <i r="1">
      <x v="104"/>
    </i>
    <i r="1">
      <x v="116"/>
    </i>
    <i r="1">
      <x v="135"/>
    </i>
    <i>
      <x v="17"/>
    </i>
    <i r="1">
      <x v="34"/>
    </i>
    <i r="1">
      <x v="38"/>
    </i>
    <i r="1">
      <x v="61"/>
    </i>
    <i r="1">
      <x v="86"/>
    </i>
    <i r="1">
      <x v="96"/>
    </i>
    <i r="1">
      <x v="106"/>
    </i>
    <i r="1">
      <x v="120"/>
    </i>
    <i r="1">
      <x v="139"/>
    </i>
    <i>
      <x v="18"/>
    </i>
    <i r="1">
      <x v="20"/>
    </i>
    <i r="1">
      <x v="34"/>
    </i>
    <i r="1">
      <x v="39"/>
    </i>
    <i r="1">
      <x v="46"/>
    </i>
    <i r="1">
      <x v="55"/>
    </i>
    <i r="1">
      <x v="63"/>
    </i>
    <i r="1">
      <x v="95"/>
    </i>
    <i r="1">
      <x v="140"/>
    </i>
    <i>
      <x v="19"/>
    </i>
    <i r="1">
      <x v="2"/>
    </i>
    <i r="1">
      <x v="67"/>
    </i>
    <i r="1">
      <x v="68"/>
    </i>
    <i r="1">
      <x v="74"/>
    </i>
    <i r="1">
      <x v="113"/>
    </i>
    <i r="1">
      <x v="115"/>
    </i>
    <i r="1">
      <x v="137"/>
    </i>
    <i>
      <x v="20"/>
    </i>
    <i r="1">
      <x v="1"/>
    </i>
    <i r="1">
      <x v="9"/>
    </i>
    <i r="1">
      <x v="13"/>
    </i>
    <i r="1">
      <x v="26"/>
    </i>
    <i r="1">
      <x v="92"/>
    </i>
    <i r="1">
      <x v="119"/>
    </i>
    <i r="1">
      <x v="141"/>
    </i>
    <i>
      <x v="21"/>
    </i>
    <i r="1">
      <x v="25"/>
    </i>
    <i r="1">
      <x v="36"/>
    </i>
    <i r="1">
      <x v="41"/>
    </i>
    <i r="1">
      <x v="52"/>
    </i>
    <i r="1">
      <x v="55"/>
    </i>
    <i r="1">
      <x v="64"/>
    </i>
    <i r="1">
      <x v="76"/>
    </i>
    <i r="1">
      <x v="82"/>
    </i>
    <i r="1">
      <x v="99"/>
    </i>
    <i r="1">
      <x v="100"/>
    </i>
    <i r="1">
      <x v="112"/>
    </i>
    <i r="1">
      <x v="114"/>
    </i>
    <i r="1">
      <x v="121"/>
    </i>
    <i r="1">
      <x v="124"/>
    </i>
    <i r="1">
      <x v="128"/>
    </i>
    <i t="grand">
      <x/>
    </i>
  </rowItems>
  <colFields count="1">
    <field x="-2"/>
  </colFields>
  <colItems count="4">
    <i>
      <x/>
    </i>
    <i i="1">
      <x v="1"/>
    </i>
    <i i="2">
      <x v="2"/>
    </i>
    <i i="3">
      <x v="3"/>
    </i>
  </colItems>
  <dataFields count="4">
    <dataField name="Profit " fld="8" baseField="2" baseItem="0" numFmtId="165"/>
    <dataField name="% Profit " fld="8" baseField="2" baseItem="0" numFmtId="10">
      <extLst>
        <ext xmlns:x14="http://schemas.microsoft.com/office/spreadsheetml/2009/9/main" uri="{E15A36E0-9728-4e99-A89B-3F7291B0FE68}">
          <x14:dataField pivotShowAs="percentOfParentRow"/>
        </ext>
      </extLst>
    </dataField>
    <dataField name="Rendelt Mennyiség" fld="2" baseField="2" baseItem="0" numFmtId="164"/>
    <dataField name="Nettó eladási ár" fld="3" baseField="1" baseItem="0" numFmtId="165"/>
  </dataFields>
  <formats count="28">
    <format dxfId="1207">
      <pivotArea type="all" dataOnly="0" outline="0" fieldPosition="0"/>
    </format>
    <format dxfId="1206">
      <pivotArea outline="0" collapsedLevelsAreSubtotals="1" fieldPosition="0"/>
    </format>
    <format dxfId="1205">
      <pivotArea field="1" type="button" dataOnly="0" labelOnly="1" outline="0" axis="axisRow" fieldPosition="0"/>
    </format>
    <format dxfId="1204">
      <pivotArea dataOnly="0" labelOnly="1" fieldPosition="0">
        <references count="1">
          <reference field="1" count="0"/>
        </references>
      </pivotArea>
    </format>
    <format dxfId="1203">
      <pivotArea dataOnly="0" labelOnly="1" grandRow="1" outline="0" fieldPosition="0"/>
    </format>
    <format dxfId="1202">
      <pivotArea dataOnly="0" labelOnly="1" fieldPosition="0">
        <references count="2">
          <reference field="1" count="1" selected="0">
            <x v="0"/>
          </reference>
          <reference field="7" count="7">
            <x v="4"/>
            <x v="11"/>
            <x v="40"/>
            <x v="56"/>
            <x v="97"/>
            <x v="116"/>
            <x v="138"/>
          </reference>
        </references>
      </pivotArea>
    </format>
    <format dxfId="1201">
      <pivotArea dataOnly="0" labelOnly="1" fieldPosition="0">
        <references count="2">
          <reference field="1" count="1" selected="0">
            <x v="1"/>
          </reference>
          <reference field="7" count="7">
            <x v="12"/>
            <x v="14"/>
            <x v="27"/>
            <x v="38"/>
            <x v="59"/>
            <x v="93"/>
            <x v="94"/>
          </reference>
        </references>
      </pivotArea>
    </format>
    <format dxfId="1200">
      <pivotArea dataOnly="0" labelOnly="1" fieldPosition="0">
        <references count="2">
          <reference field="1" count="1" selected="0">
            <x v="2"/>
          </reference>
          <reference field="7" count="15">
            <x v="10"/>
            <x v="14"/>
            <x v="16"/>
            <x v="21"/>
            <x v="24"/>
            <x v="38"/>
            <x v="48"/>
            <x v="52"/>
            <x v="65"/>
            <x v="67"/>
            <x v="71"/>
            <x v="72"/>
            <x v="110"/>
            <x v="117"/>
            <x v="122"/>
          </reference>
        </references>
      </pivotArea>
    </format>
    <format dxfId="1199">
      <pivotArea dataOnly="0" labelOnly="1" fieldPosition="0">
        <references count="2">
          <reference field="1" count="1" selected="0">
            <x v="3"/>
          </reference>
          <reference field="7" count="7">
            <x v="23"/>
            <x v="47"/>
            <x v="60"/>
            <x v="62"/>
            <x v="77"/>
            <x v="85"/>
            <x v="101"/>
          </reference>
        </references>
      </pivotArea>
    </format>
    <format dxfId="1198">
      <pivotArea dataOnly="0" labelOnly="1" fieldPosition="0">
        <references count="2">
          <reference field="1" count="1" selected="0">
            <x v="4"/>
          </reference>
          <reference field="7" count="8">
            <x v="5"/>
            <x v="29"/>
            <x v="61"/>
            <x v="91"/>
            <x v="103"/>
            <x v="118"/>
            <x v="129"/>
            <x v="131"/>
          </reference>
        </references>
      </pivotArea>
    </format>
    <format dxfId="1197">
      <pivotArea dataOnly="0" labelOnly="1" fieldPosition="0">
        <references count="2">
          <reference field="1" count="1" selected="0">
            <x v="5"/>
          </reference>
          <reference field="7" count="7">
            <x v="39"/>
            <x v="46"/>
            <x v="69"/>
            <x v="73"/>
            <x v="81"/>
            <x v="98"/>
            <x v="107"/>
          </reference>
        </references>
      </pivotArea>
    </format>
    <format dxfId="1196">
      <pivotArea dataOnly="0" labelOnly="1" fieldPosition="0">
        <references count="2">
          <reference field="1" count="1" selected="0">
            <x v="6"/>
          </reference>
          <reference field="7" count="9">
            <x v="6"/>
            <x v="7"/>
            <x v="19"/>
            <x v="35"/>
            <x v="44"/>
            <x v="58"/>
            <x v="75"/>
            <x v="106"/>
            <x v="126"/>
          </reference>
        </references>
      </pivotArea>
    </format>
    <format dxfId="1195">
      <pivotArea dataOnly="0" labelOnly="1" fieldPosition="0">
        <references count="2">
          <reference field="1" count="1" selected="0">
            <x v="7"/>
          </reference>
          <reference field="7" count="7">
            <x v="37"/>
            <x v="88"/>
            <x v="89"/>
            <x v="94"/>
            <x v="125"/>
            <x v="133"/>
            <x v="135"/>
          </reference>
        </references>
      </pivotArea>
    </format>
    <format dxfId="1194">
      <pivotArea dataOnly="0" labelOnly="1" fieldPosition="0">
        <references count="2">
          <reference field="1" count="1" selected="0">
            <x v="8"/>
          </reference>
          <reference field="7" count="7">
            <x v="0"/>
            <x v="67"/>
            <x v="75"/>
            <x v="79"/>
            <x v="83"/>
            <x v="89"/>
            <x v="97"/>
          </reference>
        </references>
      </pivotArea>
    </format>
    <format dxfId="1193">
      <pivotArea dataOnly="0" labelOnly="1" fieldPosition="0">
        <references count="2">
          <reference field="1" count="1" selected="0">
            <x v="9"/>
          </reference>
          <reference field="7" count="6">
            <x v="8"/>
            <x v="65"/>
            <x v="70"/>
            <x v="125"/>
            <x v="130"/>
            <x v="140"/>
          </reference>
        </references>
      </pivotArea>
    </format>
    <format dxfId="1192">
      <pivotArea dataOnly="0" labelOnly="1" fieldPosition="0">
        <references count="2">
          <reference field="1" count="1" selected="0">
            <x v="10"/>
          </reference>
          <reference field="7" count="8">
            <x v="5"/>
            <x v="6"/>
            <x v="31"/>
            <x v="32"/>
            <x v="50"/>
            <x v="51"/>
            <x v="89"/>
            <x v="109"/>
          </reference>
        </references>
      </pivotArea>
    </format>
    <format dxfId="1191">
      <pivotArea dataOnly="0" labelOnly="1" fieldPosition="0">
        <references count="2">
          <reference field="1" count="1" selected="0">
            <x v="11"/>
          </reference>
          <reference field="7" count="8">
            <x v="27"/>
            <x v="30"/>
            <x v="32"/>
            <x v="45"/>
            <x v="78"/>
            <x v="108"/>
            <x v="111"/>
            <x v="132"/>
          </reference>
        </references>
      </pivotArea>
    </format>
    <format dxfId="1190">
      <pivotArea dataOnly="0" labelOnly="1" fieldPosition="0">
        <references count="2">
          <reference field="1" count="1" selected="0">
            <x v="12"/>
          </reference>
          <reference field="7" count="13">
            <x v="18"/>
            <x v="22"/>
            <x v="26"/>
            <x v="33"/>
            <x v="49"/>
            <x v="64"/>
            <x v="72"/>
            <x v="78"/>
            <x v="102"/>
            <x v="108"/>
            <x v="118"/>
            <x v="123"/>
            <x v="140"/>
          </reference>
        </references>
      </pivotArea>
    </format>
    <format dxfId="1189">
      <pivotArea dataOnly="0" labelOnly="1" fieldPosition="0">
        <references count="2">
          <reference field="1" count="1" selected="0">
            <x v="13"/>
          </reference>
          <reference field="7" count="9">
            <x v="3"/>
            <x v="9"/>
            <x v="43"/>
            <x v="57"/>
            <x v="70"/>
            <x v="116"/>
            <x v="121"/>
            <x v="136"/>
            <x v="138"/>
          </reference>
        </references>
      </pivotArea>
    </format>
    <format dxfId="1188">
      <pivotArea dataOnly="0" labelOnly="1" fieldPosition="0">
        <references count="2">
          <reference field="1" count="1" selected="0">
            <x v="14"/>
          </reference>
          <reference field="7" count="8">
            <x v="17"/>
            <x v="42"/>
            <x v="66"/>
            <x v="83"/>
            <x v="84"/>
            <x v="87"/>
            <x v="105"/>
            <x v="134"/>
          </reference>
        </references>
      </pivotArea>
    </format>
    <format dxfId="1187">
      <pivotArea dataOnly="0" labelOnly="1" fieldPosition="0">
        <references count="2">
          <reference field="1" count="1" selected="0">
            <x v="15"/>
          </reference>
          <reference field="7" count="7">
            <x v="15"/>
            <x v="25"/>
            <x v="28"/>
            <x v="31"/>
            <x v="54"/>
            <x v="97"/>
            <x v="127"/>
          </reference>
        </references>
      </pivotArea>
    </format>
    <format dxfId="1186">
      <pivotArea dataOnly="0" labelOnly="1" fieldPosition="0">
        <references count="2">
          <reference field="1" count="1" selected="0">
            <x v="16"/>
          </reference>
          <reference field="7" count="7">
            <x v="53"/>
            <x v="75"/>
            <x v="80"/>
            <x v="90"/>
            <x v="104"/>
            <x v="116"/>
            <x v="135"/>
          </reference>
        </references>
      </pivotArea>
    </format>
    <format dxfId="1185">
      <pivotArea dataOnly="0" labelOnly="1" fieldPosition="0">
        <references count="2">
          <reference field="1" count="1" selected="0">
            <x v="17"/>
          </reference>
          <reference field="7" count="8">
            <x v="34"/>
            <x v="38"/>
            <x v="61"/>
            <x v="86"/>
            <x v="96"/>
            <x v="106"/>
            <x v="120"/>
            <x v="139"/>
          </reference>
        </references>
      </pivotArea>
    </format>
    <format dxfId="1184">
      <pivotArea dataOnly="0" labelOnly="1" fieldPosition="0">
        <references count="2">
          <reference field="1" count="1" selected="0">
            <x v="18"/>
          </reference>
          <reference field="7" count="8">
            <x v="20"/>
            <x v="34"/>
            <x v="39"/>
            <x v="46"/>
            <x v="55"/>
            <x v="63"/>
            <x v="95"/>
            <x v="140"/>
          </reference>
        </references>
      </pivotArea>
    </format>
    <format dxfId="1183">
      <pivotArea dataOnly="0" labelOnly="1" fieldPosition="0">
        <references count="2">
          <reference field="1" count="1" selected="0">
            <x v="19"/>
          </reference>
          <reference field="7" count="7">
            <x v="2"/>
            <x v="67"/>
            <x v="68"/>
            <x v="74"/>
            <x v="113"/>
            <x v="115"/>
            <x v="137"/>
          </reference>
        </references>
      </pivotArea>
    </format>
    <format dxfId="1182">
      <pivotArea dataOnly="0" labelOnly="1" fieldPosition="0">
        <references count="2">
          <reference field="1" count="1" selected="0">
            <x v="20"/>
          </reference>
          <reference field="7" count="7">
            <x v="1"/>
            <x v="9"/>
            <x v="13"/>
            <x v="26"/>
            <x v="92"/>
            <x v="119"/>
            <x v="141"/>
          </reference>
        </references>
      </pivotArea>
    </format>
    <format dxfId="1181">
      <pivotArea dataOnly="0" labelOnly="1" fieldPosition="0">
        <references count="2">
          <reference field="1" count="1" selected="0">
            <x v="21"/>
          </reference>
          <reference field="7" count="15">
            <x v="25"/>
            <x v="36"/>
            <x v="41"/>
            <x v="52"/>
            <x v="55"/>
            <x v="64"/>
            <x v="76"/>
            <x v="82"/>
            <x v="99"/>
            <x v="100"/>
            <x v="112"/>
            <x v="114"/>
            <x v="121"/>
            <x v="124"/>
            <x v="128"/>
          </reference>
        </references>
      </pivotArea>
    </format>
    <format dxfId="1180">
      <pivotArea dataOnly="0" labelOnly="1" outline="0" fieldPosition="0">
        <references count="1">
          <reference field="4294967294" count="4">
            <x v="0"/>
            <x v="1"/>
            <x v="2"/>
            <x v="3"/>
          </reference>
        </references>
      </pivotArea>
    </format>
  </formats>
  <conditionalFormats count="11">
    <conditionalFormat priority="11">
      <pivotAreas count="1">
        <pivotArea type="data" collapsedLevelsAreSubtotals="1" fieldPosition="0">
          <references count="3">
            <reference field="4294967294" count="1" selected="0">
              <x v="3"/>
            </reference>
            <reference field="1" count="1" selected="0">
              <x v="0"/>
            </reference>
            <reference field="7" count="7">
              <x v="4"/>
              <x v="11"/>
              <x v="40"/>
              <x v="56"/>
              <x v="97"/>
              <x v="116"/>
              <x v="138"/>
            </reference>
          </references>
        </pivotArea>
      </pivotAreas>
    </conditionalFormat>
    <conditionalFormat priority="10">
      <pivotAreas count="1">
        <pivotArea type="data" collapsedLevelsAreSubtotals="1" fieldPosition="0">
          <references count="3">
            <reference field="4294967294" count="1" selected="0">
              <x v="3"/>
            </reference>
            <reference field="1" count="1" selected="0">
              <x v="1"/>
            </reference>
            <reference field="7" count="7">
              <x v="12"/>
              <x v="14"/>
              <x v="27"/>
              <x v="38"/>
              <x v="59"/>
              <x v="93"/>
              <x v="94"/>
            </reference>
          </references>
        </pivotArea>
      </pivotAreas>
    </conditionalFormat>
    <conditionalFormat priority="9">
      <pivotAreas count="1">
        <pivotArea type="data" collapsedLevelsAreSubtotals="1" fieldPosition="0">
          <references count="3">
            <reference field="4294967294" count="1" selected="0">
              <x v="3"/>
            </reference>
            <reference field="1" count="1" selected="0">
              <x v="2"/>
            </reference>
            <reference field="7" count="15">
              <x v="10"/>
              <x v="14"/>
              <x v="16"/>
              <x v="21"/>
              <x v="24"/>
              <x v="38"/>
              <x v="48"/>
              <x v="52"/>
              <x v="65"/>
              <x v="67"/>
              <x v="71"/>
              <x v="72"/>
              <x v="110"/>
              <x v="117"/>
              <x v="122"/>
            </reference>
          </references>
        </pivotArea>
      </pivotAreas>
    </conditionalFormat>
    <conditionalFormat priority="8">
      <pivotAreas count="3">
        <pivotArea type="data" collapsedLevelsAreSubtotals="1" fieldPosition="0">
          <references count="3">
            <reference field="4294967294" count="1" selected="0">
              <x v="3"/>
            </reference>
            <reference field="1" count="1" selected="0">
              <x v="2"/>
            </reference>
            <reference field="7" count="15">
              <x v="10"/>
              <x v="14"/>
              <x v="16"/>
              <x v="21"/>
              <x v="24"/>
              <x v="38"/>
              <x v="48"/>
              <x v="52"/>
              <x v="65"/>
              <x v="67"/>
              <x v="71"/>
              <x v="72"/>
              <x v="110"/>
              <x v="117"/>
              <x v="122"/>
            </reference>
          </references>
        </pivotArea>
        <pivotArea type="data" collapsedLevelsAreSubtotals="1" fieldPosition="0">
          <references count="3">
            <reference field="4294967294" count="1" selected="0">
              <x v="3"/>
            </reference>
            <reference field="1" count="1" selected="0">
              <x v="3"/>
            </reference>
            <reference field="7" count="7">
              <x v="23"/>
              <x v="47"/>
              <x v="60"/>
              <x v="62"/>
              <x v="77"/>
              <x v="85"/>
              <x v="101"/>
            </reference>
          </references>
        </pivotArea>
        <pivotArea type="data" collapsedLevelsAreSubtotals="1" fieldPosition="0">
          <references count="3">
            <reference field="4294967294" count="1" selected="0">
              <x v="3"/>
            </reference>
            <reference field="1" count="1" selected="0">
              <x v="4"/>
            </reference>
            <reference field="7" count="8">
              <x v="5"/>
              <x v="29"/>
              <x v="61"/>
              <x v="91"/>
              <x v="103"/>
              <x v="118"/>
              <x v="129"/>
              <x v="131"/>
            </reference>
          </references>
        </pivotArea>
      </pivotAreas>
    </conditionalFormat>
    <conditionalFormat priority="7">
      <pivotAreas count="7">
        <pivotArea type="data" collapsedLevelsAreSubtotals="1" fieldPosition="0">
          <references count="3">
            <reference field="4294967294" count="1" selected="0">
              <x v="3"/>
            </reference>
            <reference field="1" count="1" selected="0">
              <x v="2"/>
            </reference>
            <reference field="7" count="15">
              <x v="10"/>
              <x v="14"/>
              <x v="16"/>
              <x v="21"/>
              <x v="24"/>
              <x v="38"/>
              <x v="48"/>
              <x v="52"/>
              <x v="65"/>
              <x v="67"/>
              <x v="71"/>
              <x v="72"/>
              <x v="110"/>
              <x v="117"/>
              <x v="122"/>
            </reference>
          </references>
        </pivotArea>
        <pivotArea type="data" collapsedLevelsAreSubtotals="1" fieldPosition="0">
          <references count="3">
            <reference field="4294967294" count="1" selected="0">
              <x v="3"/>
            </reference>
            <reference field="1" count="1" selected="0">
              <x v="3"/>
            </reference>
            <reference field="7" count="7">
              <x v="23"/>
              <x v="47"/>
              <x v="60"/>
              <x v="62"/>
              <x v="77"/>
              <x v="85"/>
              <x v="101"/>
            </reference>
          </references>
        </pivotArea>
        <pivotArea type="data" collapsedLevelsAreSubtotals="1" fieldPosition="0">
          <references count="3">
            <reference field="4294967294" count="1" selected="0">
              <x v="3"/>
            </reference>
            <reference field="1" count="1" selected="0">
              <x v="4"/>
            </reference>
            <reference field="7" count="8">
              <x v="5"/>
              <x v="29"/>
              <x v="61"/>
              <x v="91"/>
              <x v="103"/>
              <x v="118"/>
              <x v="129"/>
              <x v="131"/>
            </reference>
          </references>
        </pivotArea>
        <pivotArea type="data" collapsedLevelsAreSubtotals="1" fieldPosition="0">
          <references count="3">
            <reference field="4294967294" count="1" selected="0">
              <x v="3"/>
            </reference>
            <reference field="1" count="1" selected="0">
              <x v="21"/>
            </reference>
            <reference field="7" count="15">
              <x v="25"/>
              <x v="36"/>
              <x v="41"/>
              <x v="52"/>
              <x v="55"/>
              <x v="64"/>
              <x v="76"/>
              <x v="82"/>
              <x v="99"/>
              <x v="100"/>
              <x v="112"/>
              <x v="114"/>
              <x v="121"/>
              <x v="124"/>
              <x v="128"/>
            </reference>
          </references>
        </pivotArea>
        <pivotArea type="data" collapsedLevelsAreSubtotals="1" fieldPosition="0">
          <references count="3">
            <reference field="4294967294" count="1" selected="0">
              <x v="3"/>
            </reference>
            <reference field="1" count="1" selected="0">
              <x v="20"/>
            </reference>
            <reference field="7" count="7">
              <x v="1"/>
              <x v="9"/>
              <x v="13"/>
              <x v="26"/>
              <x v="92"/>
              <x v="119"/>
              <x v="141"/>
            </reference>
          </references>
        </pivotArea>
        <pivotArea type="data" collapsedLevelsAreSubtotals="1" fieldPosition="0">
          <references count="3">
            <reference field="4294967294" count="1" selected="0">
              <x v="3"/>
            </reference>
            <reference field="1" count="1" selected="0">
              <x v="19"/>
            </reference>
            <reference field="7" count="7">
              <x v="2"/>
              <x v="67"/>
              <x v="68"/>
              <x v="74"/>
              <x v="113"/>
              <x v="115"/>
              <x v="137"/>
            </reference>
          </references>
        </pivotArea>
        <pivotArea type="data" collapsedLevelsAreSubtotals="1" fieldPosition="0">
          <references count="3">
            <reference field="4294967294" count="1" selected="0">
              <x v="3"/>
            </reference>
            <reference field="1" count="1" selected="0">
              <x v="18"/>
            </reference>
            <reference field="7" count="8">
              <x v="20"/>
              <x v="34"/>
              <x v="39"/>
              <x v="46"/>
              <x v="55"/>
              <x v="63"/>
              <x v="95"/>
              <x v="140"/>
            </reference>
          </references>
        </pivotArea>
      </pivotAreas>
    </conditionalFormat>
    <conditionalFormat priority="6">
      <pivotAreas count="3">
        <pivotArea type="data" collapsedLevelsAreSubtotals="1" fieldPosition="0">
          <references count="3">
            <reference field="4294967294" count="1" selected="0">
              <x v="3"/>
            </reference>
            <reference field="1" count="1" selected="0">
              <x v="17"/>
            </reference>
            <reference field="7" count="8">
              <x v="34"/>
              <x v="38"/>
              <x v="61"/>
              <x v="86"/>
              <x v="96"/>
              <x v="106"/>
              <x v="120"/>
              <x v="139"/>
            </reference>
          </references>
        </pivotArea>
        <pivotArea type="data" collapsedLevelsAreSubtotals="1" fieldPosition="0">
          <references count="3">
            <reference field="4294967294" count="1" selected="0">
              <x v="3"/>
            </reference>
            <reference field="1" count="1" selected="0">
              <x v="16"/>
            </reference>
            <reference field="7" count="7">
              <x v="53"/>
              <x v="75"/>
              <x v="80"/>
              <x v="90"/>
              <x v="104"/>
              <x v="116"/>
              <x v="135"/>
            </reference>
          </references>
        </pivotArea>
        <pivotArea type="data" collapsedLevelsAreSubtotals="1" fieldPosition="0">
          <references count="3">
            <reference field="4294967294" count="1" selected="0">
              <x v="3"/>
            </reference>
            <reference field="1" count="1" selected="0">
              <x v="15"/>
            </reference>
            <reference field="7" count="7">
              <x v="15"/>
              <x v="25"/>
              <x v="28"/>
              <x v="31"/>
              <x v="54"/>
              <x v="97"/>
              <x v="127"/>
            </reference>
          </references>
        </pivotArea>
      </pivotAreas>
    </conditionalFormat>
    <conditionalFormat priority="5">
      <pivotAreas count="4">
        <pivotArea type="data" collapsedLevelsAreSubtotals="1" fieldPosition="0">
          <references count="3">
            <reference field="4294967294" count="1" selected="0">
              <x v="3"/>
            </reference>
            <reference field="1" count="1" selected="0">
              <x v="14"/>
            </reference>
            <reference field="7" count="8">
              <x v="17"/>
              <x v="42"/>
              <x v="66"/>
              <x v="83"/>
              <x v="84"/>
              <x v="87"/>
              <x v="105"/>
              <x v="134"/>
            </reference>
          </references>
        </pivotArea>
        <pivotArea type="data" collapsedLevelsAreSubtotals="1" fieldPosition="0">
          <references count="3">
            <reference field="4294967294" count="1" selected="0">
              <x v="3"/>
            </reference>
            <reference field="1" count="1" selected="0">
              <x v="13"/>
            </reference>
            <reference field="7" count="9">
              <x v="3"/>
              <x v="9"/>
              <x v="43"/>
              <x v="57"/>
              <x v="70"/>
              <x v="116"/>
              <x v="121"/>
              <x v="136"/>
              <x v="138"/>
            </reference>
          </references>
        </pivotArea>
        <pivotArea type="data" collapsedLevelsAreSubtotals="1" fieldPosition="0">
          <references count="3">
            <reference field="4294967294" count="1" selected="0">
              <x v="3"/>
            </reference>
            <reference field="1" count="1" selected="0">
              <x v="12"/>
            </reference>
            <reference field="7" count="13">
              <x v="18"/>
              <x v="22"/>
              <x v="26"/>
              <x v="33"/>
              <x v="49"/>
              <x v="64"/>
              <x v="72"/>
              <x v="78"/>
              <x v="102"/>
              <x v="108"/>
              <x v="118"/>
              <x v="123"/>
              <x v="140"/>
            </reference>
          </references>
        </pivotArea>
        <pivotArea type="data" collapsedLevelsAreSubtotals="1" fieldPosition="0">
          <references count="3">
            <reference field="4294967294" count="1" selected="0">
              <x v="3"/>
            </reference>
            <reference field="1" count="1" selected="0">
              <x v="11"/>
            </reference>
            <reference field="7" count="8">
              <x v="27"/>
              <x v="30"/>
              <x v="32"/>
              <x v="45"/>
              <x v="78"/>
              <x v="108"/>
              <x v="111"/>
              <x v="132"/>
            </reference>
          </references>
        </pivotArea>
      </pivotAreas>
    </conditionalFormat>
    <conditionalFormat priority="4">
      <pivotAreas count="2">
        <pivotArea type="data" collapsedLevelsAreSubtotals="1" fieldPosition="0">
          <references count="3">
            <reference field="4294967294" count="1" selected="0">
              <x v="3"/>
            </reference>
            <reference field="1" count="1" selected="0">
              <x v="10"/>
            </reference>
            <reference field="7" count="8">
              <x v="5"/>
              <x v="6"/>
              <x v="31"/>
              <x v="32"/>
              <x v="50"/>
              <x v="51"/>
              <x v="89"/>
              <x v="109"/>
            </reference>
          </references>
        </pivotArea>
        <pivotArea type="data" collapsedLevelsAreSubtotals="1" fieldPosition="0">
          <references count="3">
            <reference field="4294967294" count="1" selected="0">
              <x v="3"/>
            </reference>
            <reference field="1" count="1" selected="0">
              <x v="9"/>
            </reference>
            <reference field="7" count="6">
              <x v="8"/>
              <x v="65"/>
              <x v="70"/>
              <x v="125"/>
              <x v="130"/>
              <x v="140"/>
            </reference>
          </references>
        </pivotArea>
      </pivotAreas>
    </conditionalFormat>
    <conditionalFormat priority="3">
      <pivotAreas count="4">
        <pivotArea type="data" collapsedLevelsAreSubtotals="1" fieldPosition="0">
          <references count="3">
            <reference field="4294967294" count="1" selected="0">
              <x v="3"/>
            </reference>
            <reference field="1" count="1" selected="0">
              <x v="10"/>
            </reference>
            <reference field="7" count="8">
              <x v="5"/>
              <x v="6"/>
              <x v="31"/>
              <x v="32"/>
              <x v="50"/>
              <x v="51"/>
              <x v="89"/>
              <x v="109"/>
            </reference>
          </references>
        </pivotArea>
        <pivotArea type="data" collapsedLevelsAreSubtotals="1" fieldPosition="0">
          <references count="3">
            <reference field="4294967294" count="1" selected="0">
              <x v="3"/>
            </reference>
            <reference field="1" count="1" selected="0">
              <x v="9"/>
            </reference>
            <reference field="7" count="6">
              <x v="8"/>
              <x v="65"/>
              <x v="70"/>
              <x v="125"/>
              <x v="130"/>
              <x v="140"/>
            </reference>
          </references>
        </pivotArea>
        <pivotArea type="data" collapsedLevelsAreSubtotals="1" fieldPosition="0">
          <references count="3">
            <reference field="4294967294" count="1" selected="0">
              <x v="3"/>
            </reference>
            <reference field="1" count="1" selected="0">
              <x v="7"/>
            </reference>
            <reference field="7" count="7">
              <x v="37"/>
              <x v="88"/>
              <x v="89"/>
              <x v="94"/>
              <x v="125"/>
              <x v="133"/>
              <x v="135"/>
            </reference>
          </references>
        </pivotArea>
        <pivotArea type="data" collapsedLevelsAreSubtotals="1" fieldPosition="0">
          <references count="3">
            <reference field="4294967294" count="1" selected="0">
              <x v="3"/>
            </reference>
            <reference field="1" count="1" selected="0">
              <x v="8"/>
            </reference>
            <reference field="7" count="7">
              <x v="0"/>
              <x v="67"/>
              <x v="75"/>
              <x v="79"/>
              <x v="83"/>
              <x v="89"/>
              <x v="97"/>
            </reference>
          </references>
        </pivotArea>
      </pivotAreas>
    </conditionalFormat>
    <conditionalFormat priority="2">
      <pivotAreas count="1">
        <pivotArea type="data" collapsedLevelsAreSubtotals="1" fieldPosition="0">
          <references count="3">
            <reference field="4294967294" count="1" selected="0">
              <x v="3"/>
            </reference>
            <reference field="1" count="1" selected="0">
              <x v="6"/>
            </reference>
            <reference field="7" count="9">
              <x v="6"/>
              <x v="7"/>
              <x v="19"/>
              <x v="35"/>
              <x v="44"/>
              <x v="58"/>
              <x v="75"/>
              <x v="106"/>
              <x v="126"/>
            </reference>
          </references>
        </pivotArea>
      </pivotAreas>
    </conditionalFormat>
    <conditionalFormat priority="1">
      <pivotAreas count="1">
        <pivotArea type="data" collapsedLevelsAreSubtotals="1" fieldPosition="0">
          <references count="3">
            <reference field="4294967294" count="1" selected="0">
              <x v="3"/>
            </reference>
            <reference field="1" count="1" selected="0">
              <x v="5"/>
            </reference>
            <reference field="7" count="7">
              <x v="39"/>
              <x v="46"/>
              <x v="69"/>
              <x v="73"/>
              <x v="81"/>
              <x v="98"/>
              <x v="107"/>
            </reference>
          </references>
        </pivotArea>
      </pivotAreas>
    </conditionalFormat>
  </conditionalFormats>
  <chartFormats count="46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2" format="121" series="1">
      <pivotArea type="data" outline="0" fieldPosition="0">
        <references count="1">
          <reference field="4294967294" count="1" selected="0">
            <x v="0"/>
          </reference>
        </references>
      </pivotArea>
    </chartFormat>
    <chartFormat chart="2" format="122">
      <pivotArea type="data" outline="0" fieldPosition="0">
        <references count="3">
          <reference field="4294967294" count="1" selected="0">
            <x v="0"/>
          </reference>
          <reference field="1" count="1" selected="0">
            <x v="0"/>
          </reference>
          <reference field="7" count="1" selected="0">
            <x v="11"/>
          </reference>
        </references>
      </pivotArea>
    </chartFormat>
    <chartFormat chart="2" format="123">
      <pivotArea type="data" outline="0" fieldPosition="0">
        <references count="3">
          <reference field="4294967294" count="1" selected="0">
            <x v="0"/>
          </reference>
          <reference field="1" count="1" selected="0">
            <x v="0"/>
          </reference>
          <reference field="7" count="1" selected="0">
            <x v="56"/>
          </reference>
        </references>
      </pivotArea>
    </chartFormat>
    <chartFormat chart="2" format="124">
      <pivotArea type="data" outline="0" fieldPosition="0">
        <references count="3">
          <reference field="4294967294" count="1" selected="0">
            <x v="0"/>
          </reference>
          <reference field="1" count="1" selected="0">
            <x v="0"/>
          </reference>
          <reference field="7" count="1" selected="0">
            <x v="116"/>
          </reference>
        </references>
      </pivotArea>
    </chartFormat>
    <chartFormat chart="2" format="125">
      <pivotArea type="data" outline="0" fieldPosition="0">
        <references count="3">
          <reference field="4294967294" count="1" selected="0">
            <x v="0"/>
          </reference>
          <reference field="1" count="1" selected="0">
            <x v="1"/>
          </reference>
          <reference field="7" count="1" selected="0">
            <x v="38"/>
          </reference>
        </references>
      </pivotArea>
    </chartFormat>
    <chartFormat chart="2" format="126">
      <pivotArea type="data" outline="0" fieldPosition="0">
        <references count="3">
          <reference field="4294967294" count="1" selected="0">
            <x v="0"/>
          </reference>
          <reference field="1" count="1" selected="0">
            <x v="1"/>
          </reference>
          <reference field="7" count="1" selected="0">
            <x v="59"/>
          </reference>
        </references>
      </pivotArea>
    </chartFormat>
    <chartFormat chart="2" format="127">
      <pivotArea type="data" outline="0" fieldPosition="0">
        <references count="3">
          <reference field="4294967294" count="1" selected="0">
            <x v="0"/>
          </reference>
          <reference field="1" count="1" selected="0">
            <x v="1"/>
          </reference>
          <reference field="7" count="1" selected="0">
            <x v="94"/>
          </reference>
        </references>
      </pivotArea>
    </chartFormat>
    <chartFormat chart="2" format="128">
      <pivotArea type="data" outline="0" fieldPosition="0">
        <references count="3">
          <reference field="4294967294" count="1" selected="0">
            <x v="0"/>
          </reference>
          <reference field="1" count="1" selected="0">
            <x v="2"/>
          </reference>
          <reference field="7" count="1" selected="0">
            <x v="10"/>
          </reference>
        </references>
      </pivotArea>
    </chartFormat>
    <chartFormat chart="2" format="129">
      <pivotArea type="data" outline="0" fieldPosition="0">
        <references count="3">
          <reference field="4294967294" count="1" selected="0">
            <x v="0"/>
          </reference>
          <reference field="1" count="1" selected="0">
            <x v="2"/>
          </reference>
          <reference field="7" count="1" selected="0">
            <x v="14"/>
          </reference>
        </references>
      </pivotArea>
    </chartFormat>
    <chartFormat chart="2" format="130">
      <pivotArea type="data" outline="0" fieldPosition="0">
        <references count="3">
          <reference field="4294967294" count="1" selected="0">
            <x v="0"/>
          </reference>
          <reference field="1" count="1" selected="0">
            <x v="2"/>
          </reference>
          <reference field="7" count="1" selected="0">
            <x v="21"/>
          </reference>
        </references>
      </pivotArea>
    </chartFormat>
    <chartFormat chart="2" format="131">
      <pivotArea type="data" outline="0" fieldPosition="0">
        <references count="3">
          <reference field="4294967294" count="1" selected="0">
            <x v="0"/>
          </reference>
          <reference field="1" count="1" selected="0">
            <x v="2"/>
          </reference>
          <reference field="7" count="1" selected="0">
            <x v="48"/>
          </reference>
        </references>
      </pivotArea>
    </chartFormat>
    <chartFormat chart="2" format="132">
      <pivotArea type="data" outline="0" fieldPosition="0">
        <references count="3">
          <reference field="4294967294" count="1" selected="0">
            <x v="0"/>
          </reference>
          <reference field="1" count="1" selected="0">
            <x v="2"/>
          </reference>
          <reference field="7" count="1" selected="0">
            <x v="52"/>
          </reference>
        </references>
      </pivotArea>
    </chartFormat>
    <chartFormat chart="2" format="133">
      <pivotArea type="data" outline="0" fieldPosition="0">
        <references count="3">
          <reference field="4294967294" count="1" selected="0">
            <x v="0"/>
          </reference>
          <reference field="1" count="1" selected="0">
            <x v="2"/>
          </reference>
          <reference field="7" count="1" selected="0">
            <x v="71"/>
          </reference>
        </references>
      </pivotArea>
    </chartFormat>
    <chartFormat chart="2" format="134">
      <pivotArea type="data" outline="0" fieldPosition="0">
        <references count="3">
          <reference field="4294967294" count="1" selected="0">
            <x v="0"/>
          </reference>
          <reference field="1" count="1" selected="0">
            <x v="2"/>
          </reference>
          <reference field="7" count="1" selected="0">
            <x v="110"/>
          </reference>
        </references>
      </pivotArea>
    </chartFormat>
    <chartFormat chart="2" format="135">
      <pivotArea type="data" outline="0" fieldPosition="0">
        <references count="3">
          <reference field="4294967294" count="1" selected="0">
            <x v="0"/>
          </reference>
          <reference field="1" count="1" selected="0">
            <x v="2"/>
          </reference>
          <reference field="7" count="1" selected="0">
            <x v="117"/>
          </reference>
        </references>
      </pivotArea>
    </chartFormat>
    <chartFormat chart="2" format="136">
      <pivotArea type="data" outline="0" fieldPosition="0">
        <references count="3">
          <reference field="4294967294" count="1" selected="0">
            <x v="0"/>
          </reference>
          <reference field="1" count="1" selected="0">
            <x v="2"/>
          </reference>
          <reference field="7" count="1" selected="0">
            <x v="122"/>
          </reference>
        </references>
      </pivotArea>
    </chartFormat>
    <chartFormat chart="2" format="137">
      <pivotArea type="data" outline="0" fieldPosition="0">
        <references count="3">
          <reference field="4294967294" count="1" selected="0">
            <x v="0"/>
          </reference>
          <reference field="1" count="1" selected="0">
            <x v="3"/>
          </reference>
          <reference field="7" count="1" selected="0">
            <x v="23"/>
          </reference>
        </references>
      </pivotArea>
    </chartFormat>
    <chartFormat chart="2" format="138">
      <pivotArea type="data" outline="0" fieldPosition="0">
        <references count="3">
          <reference field="4294967294" count="1" selected="0">
            <x v="0"/>
          </reference>
          <reference field="1" count="1" selected="0">
            <x v="3"/>
          </reference>
          <reference field="7" count="1" selected="0">
            <x v="47"/>
          </reference>
        </references>
      </pivotArea>
    </chartFormat>
    <chartFormat chart="2" format="139">
      <pivotArea type="data" outline="0" fieldPosition="0">
        <references count="3">
          <reference field="4294967294" count="1" selected="0">
            <x v="0"/>
          </reference>
          <reference field="1" count="1" selected="0">
            <x v="3"/>
          </reference>
          <reference field="7" count="1" selected="0">
            <x v="60"/>
          </reference>
        </references>
      </pivotArea>
    </chartFormat>
    <chartFormat chart="2" format="140">
      <pivotArea type="data" outline="0" fieldPosition="0">
        <references count="3">
          <reference field="4294967294" count="1" selected="0">
            <x v="0"/>
          </reference>
          <reference field="1" count="1" selected="0">
            <x v="3"/>
          </reference>
          <reference field="7" count="1" selected="0">
            <x v="62"/>
          </reference>
        </references>
      </pivotArea>
    </chartFormat>
    <chartFormat chart="2" format="141">
      <pivotArea type="data" outline="0" fieldPosition="0">
        <references count="3">
          <reference field="4294967294" count="1" selected="0">
            <x v="0"/>
          </reference>
          <reference field="1" count="1" selected="0">
            <x v="3"/>
          </reference>
          <reference field="7" count="1" selected="0">
            <x v="85"/>
          </reference>
        </references>
      </pivotArea>
    </chartFormat>
    <chartFormat chart="2" format="142">
      <pivotArea type="data" outline="0" fieldPosition="0">
        <references count="3">
          <reference field="4294967294" count="1" selected="0">
            <x v="0"/>
          </reference>
          <reference field="1" count="1" selected="0">
            <x v="4"/>
          </reference>
          <reference field="7" count="1" selected="0">
            <x v="29"/>
          </reference>
        </references>
      </pivotArea>
    </chartFormat>
    <chartFormat chart="2" format="143">
      <pivotArea type="data" outline="0" fieldPosition="0">
        <references count="3">
          <reference field="4294967294" count="1" selected="0">
            <x v="0"/>
          </reference>
          <reference field="1" count="1" selected="0">
            <x v="4"/>
          </reference>
          <reference field="7" count="1" selected="0">
            <x v="91"/>
          </reference>
        </references>
      </pivotArea>
    </chartFormat>
    <chartFormat chart="2" format="144">
      <pivotArea type="data" outline="0" fieldPosition="0">
        <references count="3">
          <reference field="4294967294" count="1" selected="0">
            <x v="0"/>
          </reference>
          <reference field="1" count="1" selected="0">
            <x v="4"/>
          </reference>
          <reference field="7" count="1" selected="0">
            <x v="103"/>
          </reference>
        </references>
      </pivotArea>
    </chartFormat>
    <chartFormat chart="2" format="145">
      <pivotArea type="data" outline="0" fieldPosition="0">
        <references count="3">
          <reference field="4294967294" count="1" selected="0">
            <x v="0"/>
          </reference>
          <reference field="1" count="1" selected="0">
            <x v="4"/>
          </reference>
          <reference field="7" count="1" selected="0">
            <x v="118"/>
          </reference>
        </references>
      </pivotArea>
    </chartFormat>
    <chartFormat chart="2" format="146">
      <pivotArea type="data" outline="0" fieldPosition="0">
        <references count="3">
          <reference field="4294967294" count="1" selected="0">
            <x v="0"/>
          </reference>
          <reference field="1" count="1" selected="0">
            <x v="5"/>
          </reference>
          <reference field="7" count="1" selected="0">
            <x v="46"/>
          </reference>
        </references>
      </pivotArea>
    </chartFormat>
    <chartFormat chart="2" format="147">
      <pivotArea type="data" outline="0" fieldPosition="0">
        <references count="3">
          <reference field="4294967294" count="1" selected="0">
            <x v="0"/>
          </reference>
          <reference field="1" count="1" selected="0">
            <x v="5"/>
          </reference>
          <reference field="7" count="1" selected="0">
            <x v="69"/>
          </reference>
        </references>
      </pivotArea>
    </chartFormat>
    <chartFormat chart="2" format="148">
      <pivotArea type="data" outline="0" fieldPosition="0">
        <references count="3">
          <reference field="4294967294" count="1" selected="0">
            <x v="0"/>
          </reference>
          <reference field="1" count="1" selected="0">
            <x v="5"/>
          </reference>
          <reference field="7" count="1" selected="0">
            <x v="73"/>
          </reference>
        </references>
      </pivotArea>
    </chartFormat>
    <chartFormat chart="2" format="149">
      <pivotArea type="data" outline="0" fieldPosition="0">
        <references count="3">
          <reference field="4294967294" count="1" selected="0">
            <x v="0"/>
          </reference>
          <reference field="1" count="1" selected="0">
            <x v="5"/>
          </reference>
          <reference field="7" count="1" selected="0">
            <x v="81"/>
          </reference>
        </references>
      </pivotArea>
    </chartFormat>
    <chartFormat chart="2" format="150">
      <pivotArea type="data" outline="0" fieldPosition="0">
        <references count="3">
          <reference field="4294967294" count="1" selected="0">
            <x v="0"/>
          </reference>
          <reference field="1" count="1" selected="0">
            <x v="5"/>
          </reference>
          <reference field="7" count="1" selected="0">
            <x v="98"/>
          </reference>
        </references>
      </pivotArea>
    </chartFormat>
    <chartFormat chart="2" format="151">
      <pivotArea type="data" outline="0" fieldPosition="0">
        <references count="3">
          <reference field="4294967294" count="1" selected="0">
            <x v="0"/>
          </reference>
          <reference field="1" count="1" selected="0">
            <x v="5"/>
          </reference>
          <reference field="7" count="1" selected="0">
            <x v="107"/>
          </reference>
        </references>
      </pivotArea>
    </chartFormat>
    <chartFormat chart="2" format="152">
      <pivotArea type="data" outline="0" fieldPosition="0">
        <references count="3">
          <reference field="4294967294" count="1" selected="0">
            <x v="0"/>
          </reference>
          <reference field="1" count="1" selected="0">
            <x v="6"/>
          </reference>
          <reference field="7" count="1" selected="0">
            <x v="19"/>
          </reference>
        </references>
      </pivotArea>
    </chartFormat>
    <chartFormat chart="2" format="153">
      <pivotArea type="data" outline="0" fieldPosition="0">
        <references count="3">
          <reference field="4294967294" count="1" selected="0">
            <x v="0"/>
          </reference>
          <reference field="1" count="1" selected="0">
            <x v="6"/>
          </reference>
          <reference field="7" count="1" selected="0">
            <x v="44"/>
          </reference>
        </references>
      </pivotArea>
    </chartFormat>
    <chartFormat chart="2" format="154">
      <pivotArea type="data" outline="0" fieldPosition="0">
        <references count="3">
          <reference field="4294967294" count="1" selected="0">
            <x v="0"/>
          </reference>
          <reference field="1" count="1" selected="0">
            <x v="6"/>
          </reference>
          <reference field="7" count="1" selected="0">
            <x v="126"/>
          </reference>
        </references>
      </pivotArea>
    </chartFormat>
    <chartFormat chart="2" format="155">
      <pivotArea type="data" outline="0" fieldPosition="0">
        <references count="3">
          <reference field="4294967294" count="1" selected="0">
            <x v="0"/>
          </reference>
          <reference field="1" count="1" selected="0">
            <x v="7"/>
          </reference>
          <reference field="7" count="1" selected="0">
            <x v="37"/>
          </reference>
        </references>
      </pivotArea>
    </chartFormat>
    <chartFormat chart="2" format="156">
      <pivotArea type="data" outline="0" fieldPosition="0">
        <references count="3">
          <reference field="4294967294" count="1" selected="0">
            <x v="0"/>
          </reference>
          <reference field="1" count="1" selected="0">
            <x v="7"/>
          </reference>
          <reference field="7" count="1" selected="0">
            <x v="88"/>
          </reference>
        </references>
      </pivotArea>
    </chartFormat>
    <chartFormat chart="2" format="157">
      <pivotArea type="data" outline="0" fieldPosition="0">
        <references count="3">
          <reference field="4294967294" count="1" selected="0">
            <x v="0"/>
          </reference>
          <reference field="1" count="1" selected="0">
            <x v="7"/>
          </reference>
          <reference field="7" count="1" selected="0">
            <x v="89"/>
          </reference>
        </references>
      </pivotArea>
    </chartFormat>
    <chartFormat chart="2" format="158">
      <pivotArea type="data" outline="0" fieldPosition="0">
        <references count="3">
          <reference field="4294967294" count="1" selected="0">
            <x v="0"/>
          </reference>
          <reference field="1" count="1" selected="0">
            <x v="7"/>
          </reference>
          <reference field="7" count="1" selected="0">
            <x v="125"/>
          </reference>
        </references>
      </pivotArea>
    </chartFormat>
    <chartFormat chart="2" format="159">
      <pivotArea type="data" outline="0" fieldPosition="0">
        <references count="3">
          <reference field="4294967294" count="1" selected="0">
            <x v="0"/>
          </reference>
          <reference field="1" count="1" selected="0">
            <x v="7"/>
          </reference>
          <reference field="7" count="1" selected="0">
            <x v="133"/>
          </reference>
        </references>
      </pivotArea>
    </chartFormat>
    <chartFormat chart="2" format="160">
      <pivotArea type="data" outline="0" fieldPosition="0">
        <references count="3">
          <reference field="4294967294" count="1" selected="0">
            <x v="0"/>
          </reference>
          <reference field="1" count="1" selected="0">
            <x v="7"/>
          </reference>
          <reference field="7" count="1" selected="0">
            <x v="135"/>
          </reference>
        </references>
      </pivotArea>
    </chartFormat>
    <chartFormat chart="2" format="161">
      <pivotArea type="data" outline="0" fieldPosition="0">
        <references count="3">
          <reference field="4294967294" count="1" selected="0">
            <x v="0"/>
          </reference>
          <reference field="1" count="1" selected="0">
            <x v="8"/>
          </reference>
          <reference field="7" count="1" selected="0">
            <x v="67"/>
          </reference>
        </references>
      </pivotArea>
    </chartFormat>
    <chartFormat chart="2" format="162">
      <pivotArea type="data" outline="0" fieldPosition="0">
        <references count="3">
          <reference field="4294967294" count="1" selected="0">
            <x v="0"/>
          </reference>
          <reference field="1" count="1" selected="0">
            <x v="8"/>
          </reference>
          <reference field="7" count="1" selected="0">
            <x v="75"/>
          </reference>
        </references>
      </pivotArea>
    </chartFormat>
    <chartFormat chart="2" format="163">
      <pivotArea type="data" outline="0" fieldPosition="0">
        <references count="3">
          <reference field="4294967294" count="1" selected="0">
            <x v="0"/>
          </reference>
          <reference field="1" count="1" selected="0">
            <x v="8"/>
          </reference>
          <reference field="7" count="1" selected="0">
            <x v="79"/>
          </reference>
        </references>
      </pivotArea>
    </chartFormat>
    <chartFormat chart="2" format="164">
      <pivotArea type="data" outline="0" fieldPosition="0">
        <references count="3">
          <reference field="4294967294" count="1" selected="0">
            <x v="0"/>
          </reference>
          <reference field="1" count="1" selected="0">
            <x v="8"/>
          </reference>
          <reference field="7" count="1" selected="0">
            <x v="97"/>
          </reference>
        </references>
      </pivotArea>
    </chartFormat>
    <chartFormat chart="2" format="165">
      <pivotArea type="data" outline="0" fieldPosition="0">
        <references count="3">
          <reference field="4294967294" count="1" selected="0">
            <x v="0"/>
          </reference>
          <reference field="1" count="1" selected="0">
            <x v="9"/>
          </reference>
          <reference field="7" count="1" selected="0">
            <x v="140"/>
          </reference>
        </references>
      </pivotArea>
    </chartFormat>
    <chartFormat chart="2" format="166">
      <pivotArea type="data" outline="0" fieldPosition="0">
        <references count="3">
          <reference field="4294967294" count="1" selected="0">
            <x v="0"/>
          </reference>
          <reference field="1" count="1" selected="0">
            <x v="10"/>
          </reference>
          <reference field="7" count="1" selected="0">
            <x v="5"/>
          </reference>
        </references>
      </pivotArea>
    </chartFormat>
    <chartFormat chart="2" format="167">
      <pivotArea type="data" outline="0" fieldPosition="0">
        <references count="3">
          <reference field="4294967294" count="1" selected="0">
            <x v="0"/>
          </reference>
          <reference field="1" count="1" selected="0">
            <x v="10"/>
          </reference>
          <reference field="7" count="1" selected="0">
            <x v="31"/>
          </reference>
        </references>
      </pivotArea>
    </chartFormat>
    <chartFormat chart="2" format="168">
      <pivotArea type="data" outline="0" fieldPosition="0">
        <references count="3">
          <reference field="4294967294" count="1" selected="0">
            <x v="0"/>
          </reference>
          <reference field="1" count="1" selected="0">
            <x v="10"/>
          </reference>
          <reference field="7" count="1" selected="0">
            <x v="32"/>
          </reference>
        </references>
      </pivotArea>
    </chartFormat>
    <chartFormat chart="2" format="169">
      <pivotArea type="data" outline="0" fieldPosition="0">
        <references count="3">
          <reference field="4294967294" count="1" selected="0">
            <x v="0"/>
          </reference>
          <reference field="1" count="1" selected="0">
            <x v="10"/>
          </reference>
          <reference field="7" count="1" selected="0">
            <x v="51"/>
          </reference>
        </references>
      </pivotArea>
    </chartFormat>
    <chartFormat chart="2" format="170">
      <pivotArea type="data" outline="0" fieldPosition="0">
        <references count="3">
          <reference field="4294967294" count="1" selected="0">
            <x v="0"/>
          </reference>
          <reference field="1" count="1" selected="0">
            <x v="11"/>
          </reference>
          <reference field="7" count="1" selected="0">
            <x v="30"/>
          </reference>
        </references>
      </pivotArea>
    </chartFormat>
    <chartFormat chart="2" format="171">
      <pivotArea type="data" outline="0" fieldPosition="0">
        <references count="3">
          <reference field="4294967294" count="1" selected="0">
            <x v="0"/>
          </reference>
          <reference field="1" count="1" selected="0">
            <x v="11"/>
          </reference>
          <reference field="7" count="1" selected="0">
            <x v="32"/>
          </reference>
        </references>
      </pivotArea>
    </chartFormat>
    <chartFormat chart="2" format="172">
      <pivotArea type="data" outline="0" fieldPosition="0">
        <references count="3">
          <reference field="4294967294" count="1" selected="0">
            <x v="0"/>
          </reference>
          <reference field="1" count="1" selected="0">
            <x v="11"/>
          </reference>
          <reference field="7" count="1" selected="0">
            <x v="45"/>
          </reference>
        </references>
      </pivotArea>
    </chartFormat>
    <chartFormat chart="2" format="173">
      <pivotArea type="data" outline="0" fieldPosition="0">
        <references count="3">
          <reference field="4294967294" count="1" selected="0">
            <x v="0"/>
          </reference>
          <reference field="1" count="1" selected="0">
            <x v="11"/>
          </reference>
          <reference field="7" count="1" selected="0">
            <x v="78"/>
          </reference>
        </references>
      </pivotArea>
    </chartFormat>
    <chartFormat chart="2" format="174">
      <pivotArea type="data" outline="0" fieldPosition="0">
        <references count="3">
          <reference field="4294967294" count="1" selected="0">
            <x v="0"/>
          </reference>
          <reference field="1" count="1" selected="0">
            <x v="11"/>
          </reference>
          <reference field="7" count="1" selected="0">
            <x v="108"/>
          </reference>
        </references>
      </pivotArea>
    </chartFormat>
    <chartFormat chart="2" format="175">
      <pivotArea type="data" outline="0" fieldPosition="0">
        <references count="3">
          <reference field="4294967294" count="1" selected="0">
            <x v="0"/>
          </reference>
          <reference field="1" count="1" selected="0">
            <x v="11"/>
          </reference>
          <reference field="7" count="1" selected="0">
            <x v="111"/>
          </reference>
        </references>
      </pivotArea>
    </chartFormat>
    <chartFormat chart="2" format="176">
      <pivotArea type="data" outline="0" fieldPosition="0">
        <references count="3">
          <reference field="4294967294" count="1" selected="0">
            <x v="0"/>
          </reference>
          <reference field="1" count="1" selected="0">
            <x v="12"/>
          </reference>
          <reference field="7" count="1" selected="0">
            <x v="18"/>
          </reference>
        </references>
      </pivotArea>
    </chartFormat>
    <chartFormat chart="2" format="177">
      <pivotArea type="data" outline="0" fieldPosition="0">
        <references count="3">
          <reference field="4294967294" count="1" selected="0">
            <x v="0"/>
          </reference>
          <reference field="1" count="1" selected="0">
            <x v="12"/>
          </reference>
          <reference field="7" count="1" selected="0">
            <x v="22"/>
          </reference>
        </references>
      </pivotArea>
    </chartFormat>
    <chartFormat chart="2" format="178">
      <pivotArea type="data" outline="0" fieldPosition="0">
        <references count="3">
          <reference field="4294967294" count="1" selected="0">
            <x v="0"/>
          </reference>
          <reference field="1" count="1" selected="0">
            <x v="12"/>
          </reference>
          <reference field="7" count="1" selected="0">
            <x v="26"/>
          </reference>
        </references>
      </pivotArea>
    </chartFormat>
    <chartFormat chart="2" format="179">
      <pivotArea type="data" outline="0" fieldPosition="0">
        <references count="3">
          <reference field="4294967294" count="1" selected="0">
            <x v="0"/>
          </reference>
          <reference field="1" count="1" selected="0">
            <x v="12"/>
          </reference>
          <reference field="7" count="1" selected="0">
            <x v="33"/>
          </reference>
        </references>
      </pivotArea>
    </chartFormat>
    <chartFormat chart="2" format="180">
      <pivotArea type="data" outline="0" fieldPosition="0">
        <references count="3">
          <reference field="4294967294" count="1" selected="0">
            <x v="0"/>
          </reference>
          <reference field="1" count="1" selected="0">
            <x v="12"/>
          </reference>
          <reference field="7" count="1" selected="0">
            <x v="72"/>
          </reference>
        </references>
      </pivotArea>
    </chartFormat>
    <chartFormat chart="2" format="181">
      <pivotArea type="data" outline="0" fieldPosition="0">
        <references count="3">
          <reference field="4294967294" count="1" selected="0">
            <x v="0"/>
          </reference>
          <reference field="1" count="1" selected="0">
            <x v="12"/>
          </reference>
          <reference field="7" count="1" selected="0">
            <x v="78"/>
          </reference>
        </references>
      </pivotArea>
    </chartFormat>
    <chartFormat chart="2" format="182">
      <pivotArea type="data" outline="0" fieldPosition="0">
        <references count="3">
          <reference field="4294967294" count="1" selected="0">
            <x v="0"/>
          </reference>
          <reference field="1" count="1" selected="0">
            <x v="12"/>
          </reference>
          <reference field="7" count="1" selected="0">
            <x v="102"/>
          </reference>
        </references>
      </pivotArea>
    </chartFormat>
    <chartFormat chart="2" format="183">
      <pivotArea type="data" outline="0" fieldPosition="0">
        <references count="3">
          <reference field="4294967294" count="1" selected="0">
            <x v="0"/>
          </reference>
          <reference field="1" count="1" selected="0">
            <x v="12"/>
          </reference>
          <reference field="7" count="1" selected="0">
            <x v="118"/>
          </reference>
        </references>
      </pivotArea>
    </chartFormat>
    <chartFormat chart="2" format="184">
      <pivotArea type="data" outline="0" fieldPosition="0">
        <references count="3">
          <reference field="4294967294" count="1" selected="0">
            <x v="0"/>
          </reference>
          <reference field="1" count="1" selected="0">
            <x v="12"/>
          </reference>
          <reference field="7" count="1" selected="0">
            <x v="123"/>
          </reference>
        </references>
      </pivotArea>
    </chartFormat>
    <chartFormat chart="2" format="185">
      <pivotArea type="data" outline="0" fieldPosition="0">
        <references count="3">
          <reference field="4294967294" count="1" selected="0">
            <x v="0"/>
          </reference>
          <reference field="1" count="1" selected="0">
            <x v="12"/>
          </reference>
          <reference field="7" count="1" selected="0">
            <x v="140"/>
          </reference>
        </references>
      </pivotArea>
    </chartFormat>
    <chartFormat chart="2" format="186">
      <pivotArea type="data" outline="0" fieldPosition="0">
        <references count="3">
          <reference field="4294967294" count="1" selected="0">
            <x v="0"/>
          </reference>
          <reference field="1" count="1" selected="0">
            <x v="13"/>
          </reference>
          <reference field="7" count="1" selected="0">
            <x v="9"/>
          </reference>
        </references>
      </pivotArea>
    </chartFormat>
    <chartFormat chart="2" format="187">
      <pivotArea type="data" outline="0" fieldPosition="0">
        <references count="3">
          <reference field="4294967294" count="1" selected="0">
            <x v="0"/>
          </reference>
          <reference field="1" count="1" selected="0">
            <x v="13"/>
          </reference>
          <reference field="7" count="1" selected="0">
            <x v="43"/>
          </reference>
        </references>
      </pivotArea>
    </chartFormat>
    <chartFormat chart="2" format="188">
      <pivotArea type="data" outline="0" fieldPosition="0">
        <references count="3">
          <reference field="4294967294" count="1" selected="0">
            <x v="0"/>
          </reference>
          <reference field="1" count="1" selected="0">
            <x v="13"/>
          </reference>
          <reference field="7" count="1" selected="0">
            <x v="57"/>
          </reference>
        </references>
      </pivotArea>
    </chartFormat>
    <chartFormat chart="2" format="189">
      <pivotArea type="data" outline="0" fieldPosition="0">
        <references count="3">
          <reference field="4294967294" count="1" selected="0">
            <x v="0"/>
          </reference>
          <reference field="1" count="1" selected="0">
            <x v="13"/>
          </reference>
          <reference field="7" count="1" selected="0">
            <x v="70"/>
          </reference>
        </references>
      </pivotArea>
    </chartFormat>
    <chartFormat chart="2" format="190">
      <pivotArea type="data" outline="0" fieldPosition="0">
        <references count="3">
          <reference field="4294967294" count="1" selected="0">
            <x v="0"/>
          </reference>
          <reference field="1" count="1" selected="0">
            <x v="13"/>
          </reference>
          <reference field="7" count="1" selected="0">
            <x v="121"/>
          </reference>
        </references>
      </pivotArea>
    </chartFormat>
    <chartFormat chart="2" format="191">
      <pivotArea type="data" outline="0" fieldPosition="0">
        <references count="3">
          <reference field="4294967294" count="1" selected="0">
            <x v="0"/>
          </reference>
          <reference field="1" count="1" selected="0">
            <x v="13"/>
          </reference>
          <reference field="7" count="1" selected="0">
            <x v="136"/>
          </reference>
        </references>
      </pivotArea>
    </chartFormat>
    <chartFormat chart="2" format="192">
      <pivotArea type="data" outline="0" fieldPosition="0">
        <references count="3">
          <reference field="4294967294" count="1" selected="0">
            <x v="0"/>
          </reference>
          <reference field="1" count="1" selected="0">
            <x v="14"/>
          </reference>
          <reference field="7" count="1" selected="0">
            <x v="17"/>
          </reference>
        </references>
      </pivotArea>
    </chartFormat>
    <chartFormat chart="2" format="193">
      <pivotArea type="data" outline="0" fieldPosition="0">
        <references count="3">
          <reference field="4294967294" count="1" selected="0">
            <x v="0"/>
          </reference>
          <reference field="1" count="1" selected="0">
            <x v="14"/>
          </reference>
          <reference field="7" count="1" selected="0">
            <x v="42"/>
          </reference>
        </references>
      </pivotArea>
    </chartFormat>
    <chartFormat chart="2" format="194">
      <pivotArea type="data" outline="0" fieldPosition="0">
        <references count="3">
          <reference field="4294967294" count="1" selected="0">
            <x v="0"/>
          </reference>
          <reference field="1" count="1" selected="0">
            <x v="14"/>
          </reference>
          <reference field="7" count="1" selected="0">
            <x v="84"/>
          </reference>
        </references>
      </pivotArea>
    </chartFormat>
    <chartFormat chart="2" format="195">
      <pivotArea type="data" outline="0" fieldPosition="0">
        <references count="3">
          <reference field="4294967294" count="1" selected="0">
            <x v="0"/>
          </reference>
          <reference field="1" count="1" selected="0">
            <x v="14"/>
          </reference>
          <reference field="7" count="1" selected="0">
            <x v="105"/>
          </reference>
        </references>
      </pivotArea>
    </chartFormat>
    <chartFormat chart="2" format="196">
      <pivotArea type="data" outline="0" fieldPosition="0">
        <references count="3">
          <reference field="4294967294" count="1" selected="0">
            <x v="0"/>
          </reference>
          <reference field="1" count="1" selected="0">
            <x v="14"/>
          </reference>
          <reference field="7" count="1" selected="0">
            <x v="134"/>
          </reference>
        </references>
      </pivotArea>
    </chartFormat>
    <chartFormat chart="2" format="197">
      <pivotArea type="data" outline="0" fieldPosition="0">
        <references count="3">
          <reference field="4294967294" count="1" selected="0">
            <x v="0"/>
          </reference>
          <reference field="1" count="1" selected="0">
            <x v="15"/>
          </reference>
          <reference field="7" count="1" selected="0">
            <x v="31"/>
          </reference>
        </references>
      </pivotArea>
    </chartFormat>
    <chartFormat chart="2" format="198">
      <pivotArea type="data" outline="0" fieldPosition="0">
        <references count="3">
          <reference field="4294967294" count="1" selected="0">
            <x v="0"/>
          </reference>
          <reference field="1" count="1" selected="0">
            <x v="15"/>
          </reference>
          <reference field="7" count="1" selected="0">
            <x v="54"/>
          </reference>
        </references>
      </pivotArea>
    </chartFormat>
    <chartFormat chart="2" format="199">
      <pivotArea type="data" outline="0" fieldPosition="0">
        <references count="3">
          <reference field="4294967294" count="1" selected="0">
            <x v="0"/>
          </reference>
          <reference field="1" count="1" selected="0">
            <x v="16"/>
          </reference>
          <reference field="7" count="1" selected="0">
            <x v="75"/>
          </reference>
        </references>
      </pivotArea>
    </chartFormat>
    <chartFormat chart="2" format="200">
      <pivotArea type="data" outline="0" fieldPosition="0">
        <references count="3">
          <reference field="4294967294" count="1" selected="0">
            <x v="0"/>
          </reference>
          <reference field="1" count="1" selected="0">
            <x v="16"/>
          </reference>
          <reference field="7" count="1" selected="0">
            <x v="90"/>
          </reference>
        </references>
      </pivotArea>
    </chartFormat>
    <chartFormat chart="2" format="201">
      <pivotArea type="data" outline="0" fieldPosition="0">
        <references count="3">
          <reference field="4294967294" count="1" selected="0">
            <x v="0"/>
          </reference>
          <reference field="1" count="1" selected="0">
            <x v="16"/>
          </reference>
          <reference field="7" count="1" selected="0">
            <x v="104"/>
          </reference>
        </references>
      </pivotArea>
    </chartFormat>
    <chartFormat chart="2" format="202">
      <pivotArea type="data" outline="0" fieldPosition="0">
        <references count="3">
          <reference field="4294967294" count="1" selected="0">
            <x v="0"/>
          </reference>
          <reference field="1" count="1" selected="0">
            <x v="16"/>
          </reference>
          <reference field="7" count="1" selected="0">
            <x v="116"/>
          </reference>
        </references>
      </pivotArea>
    </chartFormat>
    <chartFormat chart="2" format="203">
      <pivotArea type="data" outline="0" fieldPosition="0">
        <references count="3">
          <reference field="4294967294" count="1" selected="0">
            <x v="0"/>
          </reference>
          <reference field="1" count="1" selected="0">
            <x v="16"/>
          </reference>
          <reference field="7" count="1" selected="0">
            <x v="135"/>
          </reference>
        </references>
      </pivotArea>
    </chartFormat>
    <chartFormat chart="2" format="204">
      <pivotArea type="data" outline="0" fieldPosition="0">
        <references count="3">
          <reference field="4294967294" count="1" selected="0">
            <x v="0"/>
          </reference>
          <reference field="1" count="1" selected="0">
            <x v="17"/>
          </reference>
          <reference field="7" count="1" selected="0">
            <x v="34"/>
          </reference>
        </references>
      </pivotArea>
    </chartFormat>
    <chartFormat chart="2" format="205">
      <pivotArea type="data" outline="0" fieldPosition="0">
        <references count="3">
          <reference field="4294967294" count="1" selected="0">
            <x v="0"/>
          </reference>
          <reference field="1" count="1" selected="0">
            <x v="17"/>
          </reference>
          <reference field="7" count="1" selected="0">
            <x v="38"/>
          </reference>
        </references>
      </pivotArea>
    </chartFormat>
    <chartFormat chart="2" format="206">
      <pivotArea type="data" outline="0" fieldPosition="0">
        <references count="3">
          <reference field="4294967294" count="1" selected="0">
            <x v="0"/>
          </reference>
          <reference field="1" count="1" selected="0">
            <x v="17"/>
          </reference>
          <reference field="7" count="1" selected="0">
            <x v="61"/>
          </reference>
        </references>
      </pivotArea>
    </chartFormat>
    <chartFormat chart="2" format="207">
      <pivotArea type="data" outline="0" fieldPosition="0">
        <references count="3">
          <reference field="4294967294" count="1" selected="0">
            <x v="0"/>
          </reference>
          <reference field="1" count="1" selected="0">
            <x v="17"/>
          </reference>
          <reference field="7" count="1" selected="0">
            <x v="96"/>
          </reference>
        </references>
      </pivotArea>
    </chartFormat>
    <chartFormat chart="2" format="208">
      <pivotArea type="data" outline="0" fieldPosition="0">
        <references count="3">
          <reference field="4294967294" count="1" selected="0">
            <x v="0"/>
          </reference>
          <reference field="1" count="1" selected="0">
            <x v="17"/>
          </reference>
          <reference field="7" count="1" selected="0">
            <x v="120"/>
          </reference>
        </references>
      </pivotArea>
    </chartFormat>
    <chartFormat chart="2" format="209">
      <pivotArea type="data" outline="0" fieldPosition="0">
        <references count="3">
          <reference field="4294967294" count="1" selected="0">
            <x v="0"/>
          </reference>
          <reference field="1" count="1" selected="0">
            <x v="17"/>
          </reference>
          <reference field="7" count="1" selected="0">
            <x v="139"/>
          </reference>
        </references>
      </pivotArea>
    </chartFormat>
    <chartFormat chart="2" format="210">
      <pivotArea type="data" outline="0" fieldPosition="0">
        <references count="3">
          <reference field="4294967294" count="1" selected="0">
            <x v="0"/>
          </reference>
          <reference field="1" count="1" selected="0">
            <x v="18"/>
          </reference>
          <reference field="7" count="1" selected="0">
            <x v="34"/>
          </reference>
        </references>
      </pivotArea>
    </chartFormat>
    <chartFormat chart="2" format="211">
      <pivotArea type="data" outline="0" fieldPosition="0">
        <references count="3">
          <reference field="4294967294" count="1" selected="0">
            <x v="0"/>
          </reference>
          <reference field="1" count="1" selected="0">
            <x v="18"/>
          </reference>
          <reference field="7" count="1" selected="0">
            <x v="39"/>
          </reference>
        </references>
      </pivotArea>
    </chartFormat>
    <chartFormat chart="2" format="212">
      <pivotArea type="data" outline="0" fieldPosition="0">
        <references count="3">
          <reference field="4294967294" count="1" selected="0">
            <x v="0"/>
          </reference>
          <reference field="1" count="1" selected="0">
            <x v="18"/>
          </reference>
          <reference field="7" count="1" selected="0">
            <x v="46"/>
          </reference>
        </references>
      </pivotArea>
    </chartFormat>
    <chartFormat chart="2" format="213">
      <pivotArea type="data" outline="0" fieldPosition="0">
        <references count="3">
          <reference field="4294967294" count="1" selected="0">
            <x v="0"/>
          </reference>
          <reference field="1" count="1" selected="0">
            <x v="18"/>
          </reference>
          <reference field="7" count="1" selected="0">
            <x v="63"/>
          </reference>
        </references>
      </pivotArea>
    </chartFormat>
    <chartFormat chart="2" format="214">
      <pivotArea type="data" outline="0" fieldPosition="0">
        <references count="3">
          <reference field="4294967294" count="1" selected="0">
            <x v="0"/>
          </reference>
          <reference field="1" count="1" selected="0">
            <x v="18"/>
          </reference>
          <reference field="7" count="1" selected="0">
            <x v="95"/>
          </reference>
        </references>
      </pivotArea>
    </chartFormat>
    <chartFormat chart="2" format="215">
      <pivotArea type="data" outline="0" fieldPosition="0">
        <references count="3">
          <reference field="4294967294" count="1" selected="0">
            <x v="0"/>
          </reference>
          <reference field="1" count="1" selected="0">
            <x v="19"/>
          </reference>
          <reference field="7" count="1" selected="0">
            <x v="67"/>
          </reference>
        </references>
      </pivotArea>
    </chartFormat>
    <chartFormat chart="2" format="216">
      <pivotArea type="data" outline="0" fieldPosition="0">
        <references count="3">
          <reference field="4294967294" count="1" selected="0">
            <x v="0"/>
          </reference>
          <reference field="1" count="1" selected="0">
            <x v="19"/>
          </reference>
          <reference field="7" count="1" selected="0">
            <x v="68"/>
          </reference>
        </references>
      </pivotArea>
    </chartFormat>
    <chartFormat chart="2" format="217">
      <pivotArea type="data" outline="0" fieldPosition="0">
        <references count="3">
          <reference field="4294967294" count="1" selected="0">
            <x v="0"/>
          </reference>
          <reference field="1" count="1" selected="0">
            <x v="19"/>
          </reference>
          <reference field="7" count="1" selected="0">
            <x v="74"/>
          </reference>
        </references>
      </pivotArea>
    </chartFormat>
    <chartFormat chart="2" format="218">
      <pivotArea type="data" outline="0" fieldPosition="0">
        <references count="3">
          <reference field="4294967294" count="1" selected="0">
            <x v="0"/>
          </reference>
          <reference field="1" count="1" selected="0">
            <x v="19"/>
          </reference>
          <reference field="7" count="1" selected="0">
            <x v="113"/>
          </reference>
        </references>
      </pivotArea>
    </chartFormat>
    <chartFormat chart="2" format="219">
      <pivotArea type="data" outline="0" fieldPosition="0">
        <references count="3">
          <reference field="4294967294" count="1" selected="0">
            <x v="0"/>
          </reference>
          <reference field="1" count="1" selected="0">
            <x v="19"/>
          </reference>
          <reference field="7" count="1" selected="0">
            <x v="115"/>
          </reference>
        </references>
      </pivotArea>
    </chartFormat>
    <chartFormat chart="2" format="220">
      <pivotArea type="data" outline="0" fieldPosition="0">
        <references count="3">
          <reference field="4294967294" count="1" selected="0">
            <x v="0"/>
          </reference>
          <reference field="1" count="1" selected="0">
            <x v="19"/>
          </reference>
          <reference field="7" count="1" selected="0">
            <x v="137"/>
          </reference>
        </references>
      </pivotArea>
    </chartFormat>
    <chartFormat chart="2" format="221">
      <pivotArea type="data" outline="0" fieldPosition="0">
        <references count="3">
          <reference field="4294967294" count="1" selected="0">
            <x v="0"/>
          </reference>
          <reference field="1" count="1" selected="0">
            <x v="20"/>
          </reference>
          <reference field="7" count="1" selected="0">
            <x v="1"/>
          </reference>
        </references>
      </pivotArea>
    </chartFormat>
    <chartFormat chart="2" format="222">
      <pivotArea type="data" outline="0" fieldPosition="0">
        <references count="3">
          <reference field="4294967294" count="1" selected="0">
            <x v="0"/>
          </reference>
          <reference field="1" count="1" selected="0">
            <x v="20"/>
          </reference>
          <reference field="7" count="1" selected="0">
            <x v="9"/>
          </reference>
        </references>
      </pivotArea>
    </chartFormat>
    <chartFormat chart="2" format="223">
      <pivotArea type="data" outline="0" fieldPosition="0">
        <references count="3">
          <reference field="4294967294" count="1" selected="0">
            <x v="0"/>
          </reference>
          <reference field="1" count="1" selected="0">
            <x v="20"/>
          </reference>
          <reference field="7" count="1" selected="0">
            <x v="13"/>
          </reference>
        </references>
      </pivotArea>
    </chartFormat>
    <chartFormat chart="2" format="224">
      <pivotArea type="data" outline="0" fieldPosition="0">
        <references count="3">
          <reference field="4294967294" count="1" selected="0">
            <x v="0"/>
          </reference>
          <reference field="1" count="1" selected="0">
            <x v="20"/>
          </reference>
          <reference field="7" count="1" selected="0">
            <x v="26"/>
          </reference>
        </references>
      </pivotArea>
    </chartFormat>
    <chartFormat chart="2" format="225">
      <pivotArea type="data" outline="0" fieldPosition="0">
        <references count="3">
          <reference field="4294967294" count="1" selected="0">
            <x v="0"/>
          </reference>
          <reference field="1" count="1" selected="0">
            <x v="20"/>
          </reference>
          <reference field="7" count="1" selected="0">
            <x v="92"/>
          </reference>
        </references>
      </pivotArea>
    </chartFormat>
    <chartFormat chart="2" format="226">
      <pivotArea type="data" outline="0" fieldPosition="0">
        <references count="3">
          <reference field="4294967294" count="1" selected="0">
            <x v="0"/>
          </reference>
          <reference field="1" count="1" selected="0">
            <x v="20"/>
          </reference>
          <reference field="7" count="1" selected="0">
            <x v="119"/>
          </reference>
        </references>
      </pivotArea>
    </chartFormat>
    <chartFormat chart="2" format="227">
      <pivotArea type="data" outline="0" fieldPosition="0">
        <references count="3">
          <reference field="4294967294" count="1" selected="0">
            <x v="0"/>
          </reference>
          <reference field="1" count="1" selected="0">
            <x v="20"/>
          </reference>
          <reference field="7" count="1" selected="0">
            <x v="141"/>
          </reference>
        </references>
      </pivotArea>
    </chartFormat>
    <chartFormat chart="2" format="228">
      <pivotArea type="data" outline="0" fieldPosition="0">
        <references count="3">
          <reference field="4294967294" count="1" selected="0">
            <x v="0"/>
          </reference>
          <reference field="1" count="1" selected="0">
            <x v="21"/>
          </reference>
          <reference field="7" count="1" selected="0">
            <x v="25"/>
          </reference>
        </references>
      </pivotArea>
    </chartFormat>
    <chartFormat chart="2" format="229">
      <pivotArea type="data" outline="0" fieldPosition="0">
        <references count="3">
          <reference field="4294967294" count="1" selected="0">
            <x v="0"/>
          </reference>
          <reference field="1" count="1" selected="0">
            <x v="21"/>
          </reference>
          <reference field="7" count="1" selected="0">
            <x v="52"/>
          </reference>
        </references>
      </pivotArea>
    </chartFormat>
    <chartFormat chart="2" format="230">
      <pivotArea type="data" outline="0" fieldPosition="0">
        <references count="3">
          <reference field="4294967294" count="1" selected="0">
            <x v="0"/>
          </reference>
          <reference field="1" count="1" selected="0">
            <x v="21"/>
          </reference>
          <reference field="7" count="1" selected="0">
            <x v="55"/>
          </reference>
        </references>
      </pivotArea>
    </chartFormat>
    <chartFormat chart="2" format="231">
      <pivotArea type="data" outline="0" fieldPosition="0">
        <references count="3">
          <reference field="4294967294" count="1" selected="0">
            <x v="0"/>
          </reference>
          <reference field="1" count="1" selected="0">
            <x v="21"/>
          </reference>
          <reference field="7" count="1" selected="0">
            <x v="64"/>
          </reference>
        </references>
      </pivotArea>
    </chartFormat>
    <chartFormat chart="2" format="232">
      <pivotArea type="data" outline="0" fieldPosition="0">
        <references count="3">
          <reference field="4294967294" count="1" selected="0">
            <x v="0"/>
          </reference>
          <reference field="1" count="1" selected="0">
            <x v="21"/>
          </reference>
          <reference field="7" count="1" selected="0">
            <x v="82"/>
          </reference>
        </references>
      </pivotArea>
    </chartFormat>
    <chartFormat chart="2" format="233">
      <pivotArea type="data" outline="0" fieldPosition="0">
        <references count="3">
          <reference field="4294967294" count="1" selected="0">
            <x v="0"/>
          </reference>
          <reference field="1" count="1" selected="0">
            <x v="21"/>
          </reference>
          <reference field="7" count="1" selected="0">
            <x v="99"/>
          </reference>
        </references>
      </pivotArea>
    </chartFormat>
    <chartFormat chart="2" format="234">
      <pivotArea type="data" outline="0" fieldPosition="0">
        <references count="3">
          <reference field="4294967294" count="1" selected="0">
            <x v="0"/>
          </reference>
          <reference field="1" count="1" selected="0">
            <x v="21"/>
          </reference>
          <reference field="7" count="1" selected="0">
            <x v="112"/>
          </reference>
        </references>
      </pivotArea>
    </chartFormat>
    <chartFormat chart="2" format="235">
      <pivotArea type="data" outline="0" fieldPosition="0">
        <references count="3">
          <reference field="4294967294" count="1" selected="0">
            <x v="0"/>
          </reference>
          <reference field="1" count="1" selected="0">
            <x v="21"/>
          </reference>
          <reference field="7" count="1" selected="0">
            <x v="121"/>
          </reference>
        </references>
      </pivotArea>
    </chartFormat>
    <chartFormat chart="2" format="236">
      <pivotArea type="data" outline="0" fieldPosition="0">
        <references count="3">
          <reference field="4294967294" count="1" selected="0">
            <x v="0"/>
          </reference>
          <reference field="1" count="1" selected="0">
            <x v="21"/>
          </reference>
          <reference field="7" count="1" selected="0">
            <x v="124"/>
          </reference>
        </references>
      </pivotArea>
    </chartFormat>
    <chartFormat chart="2" format="237" series="1">
      <pivotArea type="data" outline="0" fieldPosition="0">
        <references count="1">
          <reference field="4294967294" count="1" selected="0">
            <x v="1"/>
          </reference>
        </references>
      </pivotArea>
    </chartFormat>
    <chartFormat chart="2" format="238">
      <pivotArea type="data" outline="0" fieldPosition="0">
        <references count="3">
          <reference field="4294967294" count="1" selected="0">
            <x v="1"/>
          </reference>
          <reference field="1" count="1" selected="0">
            <x v="0"/>
          </reference>
          <reference field="7" count="1" selected="0">
            <x v="11"/>
          </reference>
        </references>
      </pivotArea>
    </chartFormat>
    <chartFormat chart="2" format="239">
      <pivotArea type="data" outline="0" fieldPosition="0">
        <references count="3">
          <reference field="4294967294" count="1" selected="0">
            <x v="1"/>
          </reference>
          <reference field="1" count="1" selected="0">
            <x v="0"/>
          </reference>
          <reference field="7" count="1" selected="0">
            <x v="56"/>
          </reference>
        </references>
      </pivotArea>
    </chartFormat>
    <chartFormat chart="2" format="240">
      <pivotArea type="data" outline="0" fieldPosition="0">
        <references count="3">
          <reference field="4294967294" count="1" selected="0">
            <x v="1"/>
          </reference>
          <reference field="1" count="1" selected="0">
            <x v="0"/>
          </reference>
          <reference field="7" count="1" selected="0">
            <x v="116"/>
          </reference>
        </references>
      </pivotArea>
    </chartFormat>
    <chartFormat chart="2" format="241">
      <pivotArea type="data" outline="0" fieldPosition="0">
        <references count="3">
          <reference field="4294967294" count="1" selected="0">
            <x v="1"/>
          </reference>
          <reference field="1" count="1" selected="0">
            <x v="1"/>
          </reference>
          <reference field="7" count="1" selected="0">
            <x v="38"/>
          </reference>
        </references>
      </pivotArea>
    </chartFormat>
    <chartFormat chart="2" format="242">
      <pivotArea type="data" outline="0" fieldPosition="0">
        <references count="3">
          <reference field="4294967294" count="1" selected="0">
            <x v="1"/>
          </reference>
          <reference field="1" count="1" selected="0">
            <x v="1"/>
          </reference>
          <reference field="7" count="1" selected="0">
            <x v="59"/>
          </reference>
        </references>
      </pivotArea>
    </chartFormat>
    <chartFormat chart="2" format="243">
      <pivotArea type="data" outline="0" fieldPosition="0">
        <references count="3">
          <reference field="4294967294" count="1" selected="0">
            <x v="1"/>
          </reference>
          <reference field="1" count="1" selected="0">
            <x v="1"/>
          </reference>
          <reference field="7" count="1" selected="0">
            <x v="94"/>
          </reference>
        </references>
      </pivotArea>
    </chartFormat>
    <chartFormat chart="2" format="244">
      <pivotArea type="data" outline="0" fieldPosition="0">
        <references count="3">
          <reference field="4294967294" count="1" selected="0">
            <x v="1"/>
          </reference>
          <reference field="1" count="1" selected="0">
            <x v="2"/>
          </reference>
          <reference field="7" count="1" selected="0">
            <x v="10"/>
          </reference>
        </references>
      </pivotArea>
    </chartFormat>
    <chartFormat chart="2" format="245">
      <pivotArea type="data" outline="0" fieldPosition="0">
        <references count="3">
          <reference field="4294967294" count="1" selected="0">
            <x v="1"/>
          </reference>
          <reference field="1" count="1" selected="0">
            <x v="2"/>
          </reference>
          <reference field="7" count="1" selected="0">
            <x v="14"/>
          </reference>
        </references>
      </pivotArea>
    </chartFormat>
    <chartFormat chart="2" format="246">
      <pivotArea type="data" outline="0" fieldPosition="0">
        <references count="3">
          <reference field="4294967294" count="1" selected="0">
            <x v="1"/>
          </reference>
          <reference field="1" count="1" selected="0">
            <x v="2"/>
          </reference>
          <reference field="7" count="1" selected="0">
            <x v="21"/>
          </reference>
        </references>
      </pivotArea>
    </chartFormat>
    <chartFormat chart="2" format="247">
      <pivotArea type="data" outline="0" fieldPosition="0">
        <references count="3">
          <reference field="4294967294" count="1" selected="0">
            <x v="1"/>
          </reference>
          <reference field="1" count="1" selected="0">
            <x v="2"/>
          </reference>
          <reference field="7" count="1" selected="0">
            <x v="48"/>
          </reference>
        </references>
      </pivotArea>
    </chartFormat>
    <chartFormat chart="2" format="248">
      <pivotArea type="data" outline="0" fieldPosition="0">
        <references count="3">
          <reference field="4294967294" count="1" selected="0">
            <x v="1"/>
          </reference>
          <reference field="1" count="1" selected="0">
            <x v="2"/>
          </reference>
          <reference field="7" count="1" selected="0">
            <x v="52"/>
          </reference>
        </references>
      </pivotArea>
    </chartFormat>
    <chartFormat chart="2" format="249">
      <pivotArea type="data" outline="0" fieldPosition="0">
        <references count="3">
          <reference field="4294967294" count="1" selected="0">
            <x v="1"/>
          </reference>
          <reference field="1" count="1" selected="0">
            <x v="2"/>
          </reference>
          <reference field="7" count="1" selected="0">
            <x v="71"/>
          </reference>
        </references>
      </pivotArea>
    </chartFormat>
    <chartFormat chart="2" format="250">
      <pivotArea type="data" outline="0" fieldPosition="0">
        <references count="3">
          <reference field="4294967294" count="1" selected="0">
            <x v="1"/>
          </reference>
          <reference field="1" count="1" selected="0">
            <x v="2"/>
          </reference>
          <reference field="7" count="1" selected="0">
            <x v="110"/>
          </reference>
        </references>
      </pivotArea>
    </chartFormat>
    <chartFormat chart="2" format="251">
      <pivotArea type="data" outline="0" fieldPosition="0">
        <references count="3">
          <reference field="4294967294" count="1" selected="0">
            <x v="1"/>
          </reference>
          <reference field="1" count="1" selected="0">
            <x v="2"/>
          </reference>
          <reference field="7" count="1" selected="0">
            <x v="117"/>
          </reference>
        </references>
      </pivotArea>
    </chartFormat>
    <chartFormat chart="2" format="252">
      <pivotArea type="data" outline="0" fieldPosition="0">
        <references count="3">
          <reference field="4294967294" count="1" selected="0">
            <x v="1"/>
          </reference>
          <reference field="1" count="1" selected="0">
            <x v="2"/>
          </reference>
          <reference field="7" count="1" selected="0">
            <x v="122"/>
          </reference>
        </references>
      </pivotArea>
    </chartFormat>
    <chartFormat chart="2" format="253">
      <pivotArea type="data" outline="0" fieldPosition="0">
        <references count="3">
          <reference field="4294967294" count="1" selected="0">
            <x v="1"/>
          </reference>
          <reference field="1" count="1" selected="0">
            <x v="3"/>
          </reference>
          <reference field="7" count="1" selected="0">
            <x v="23"/>
          </reference>
        </references>
      </pivotArea>
    </chartFormat>
    <chartFormat chart="2" format="254">
      <pivotArea type="data" outline="0" fieldPosition="0">
        <references count="3">
          <reference field="4294967294" count="1" selected="0">
            <x v="1"/>
          </reference>
          <reference field="1" count="1" selected="0">
            <x v="3"/>
          </reference>
          <reference field="7" count="1" selected="0">
            <x v="47"/>
          </reference>
        </references>
      </pivotArea>
    </chartFormat>
    <chartFormat chart="2" format="255">
      <pivotArea type="data" outline="0" fieldPosition="0">
        <references count="3">
          <reference field="4294967294" count="1" selected="0">
            <x v="1"/>
          </reference>
          <reference field="1" count="1" selected="0">
            <x v="3"/>
          </reference>
          <reference field="7" count="1" selected="0">
            <x v="60"/>
          </reference>
        </references>
      </pivotArea>
    </chartFormat>
    <chartFormat chart="2" format="256">
      <pivotArea type="data" outline="0" fieldPosition="0">
        <references count="3">
          <reference field="4294967294" count="1" selected="0">
            <x v="1"/>
          </reference>
          <reference field="1" count="1" selected="0">
            <x v="3"/>
          </reference>
          <reference field="7" count="1" selected="0">
            <x v="62"/>
          </reference>
        </references>
      </pivotArea>
    </chartFormat>
    <chartFormat chart="2" format="257">
      <pivotArea type="data" outline="0" fieldPosition="0">
        <references count="3">
          <reference field="4294967294" count="1" selected="0">
            <x v="1"/>
          </reference>
          <reference field="1" count="1" selected="0">
            <x v="3"/>
          </reference>
          <reference field="7" count="1" selected="0">
            <x v="85"/>
          </reference>
        </references>
      </pivotArea>
    </chartFormat>
    <chartFormat chart="2" format="258">
      <pivotArea type="data" outline="0" fieldPosition="0">
        <references count="3">
          <reference field="4294967294" count="1" selected="0">
            <x v="1"/>
          </reference>
          <reference field="1" count="1" selected="0">
            <x v="4"/>
          </reference>
          <reference field="7" count="1" selected="0">
            <x v="29"/>
          </reference>
        </references>
      </pivotArea>
    </chartFormat>
    <chartFormat chart="2" format="259">
      <pivotArea type="data" outline="0" fieldPosition="0">
        <references count="3">
          <reference field="4294967294" count="1" selected="0">
            <x v="1"/>
          </reference>
          <reference field="1" count="1" selected="0">
            <x v="4"/>
          </reference>
          <reference field="7" count="1" selected="0">
            <x v="91"/>
          </reference>
        </references>
      </pivotArea>
    </chartFormat>
    <chartFormat chart="2" format="260">
      <pivotArea type="data" outline="0" fieldPosition="0">
        <references count="3">
          <reference field="4294967294" count="1" selected="0">
            <x v="1"/>
          </reference>
          <reference field="1" count="1" selected="0">
            <x v="4"/>
          </reference>
          <reference field="7" count="1" selected="0">
            <x v="103"/>
          </reference>
        </references>
      </pivotArea>
    </chartFormat>
    <chartFormat chart="2" format="261">
      <pivotArea type="data" outline="0" fieldPosition="0">
        <references count="3">
          <reference field="4294967294" count="1" selected="0">
            <x v="1"/>
          </reference>
          <reference field="1" count="1" selected="0">
            <x v="4"/>
          </reference>
          <reference field="7" count="1" selected="0">
            <x v="118"/>
          </reference>
        </references>
      </pivotArea>
    </chartFormat>
    <chartFormat chart="2" format="262">
      <pivotArea type="data" outline="0" fieldPosition="0">
        <references count="3">
          <reference field="4294967294" count="1" selected="0">
            <x v="1"/>
          </reference>
          <reference field="1" count="1" selected="0">
            <x v="5"/>
          </reference>
          <reference field="7" count="1" selected="0">
            <x v="46"/>
          </reference>
        </references>
      </pivotArea>
    </chartFormat>
    <chartFormat chart="2" format="263">
      <pivotArea type="data" outline="0" fieldPosition="0">
        <references count="3">
          <reference field="4294967294" count="1" selected="0">
            <x v="1"/>
          </reference>
          <reference field="1" count="1" selected="0">
            <x v="5"/>
          </reference>
          <reference field="7" count="1" selected="0">
            <x v="69"/>
          </reference>
        </references>
      </pivotArea>
    </chartFormat>
    <chartFormat chart="2" format="264">
      <pivotArea type="data" outline="0" fieldPosition="0">
        <references count="3">
          <reference field="4294967294" count="1" selected="0">
            <x v="1"/>
          </reference>
          <reference field="1" count="1" selected="0">
            <x v="5"/>
          </reference>
          <reference field="7" count="1" selected="0">
            <x v="73"/>
          </reference>
        </references>
      </pivotArea>
    </chartFormat>
    <chartFormat chart="2" format="265">
      <pivotArea type="data" outline="0" fieldPosition="0">
        <references count="3">
          <reference field="4294967294" count="1" selected="0">
            <x v="1"/>
          </reference>
          <reference field="1" count="1" selected="0">
            <x v="5"/>
          </reference>
          <reference field="7" count="1" selected="0">
            <x v="81"/>
          </reference>
        </references>
      </pivotArea>
    </chartFormat>
    <chartFormat chart="2" format="266">
      <pivotArea type="data" outline="0" fieldPosition="0">
        <references count="3">
          <reference field="4294967294" count="1" selected="0">
            <x v="1"/>
          </reference>
          <reference field="1" count="1" selected="0">
            <x v="5"/>
          </reference>
          <reference field="7" count="1" selected="0">
            <x v="98"/>
          </reference>
        </references>
      </pivotArea>
    </chartFormat>
    <chartFormat chart="2" format="267">
      <pivotArea type="data" outline="0" fieldPosition="0">
        <references count="3">
          <reference field="4294967294" count="1" selected="0">
            <x v="1"/>
          </reference>
          <reference field="1" count="1" selected="0">
            <x v="5"/>
          </reference>
          <reference field="7" count="1" selected="0">
            <x v="107"/>
          </reference>
        </references>
      </pivotArea>
    </chartFormat>
    <chartFormat chart="2" format="268">
      <pivotArea type="data" outline="0" fieldPosition="0">
        <references count="3">
          <reference field="4294967294" count="1" selected="0">
            <x v="1"/>
          </reference>
          <reference field="1" count="1" selected="0">
            <x v="6"/>
          </reference>
          <reference field="7" count="1" selected="0">
            <x v="19"/>
          </reference>
        </references>
      </pivotArea>
    </chartFormat>
    <chartFormat chart="2" format="269">
      <pivotArea type="data" outline="0" fieldPosition="0">
        <references count="3">
          <reference field="4294967294" count="1" selected="0">
            <x v="1"/>
          </reference>
          <reference field="1" count="1" selected="0">
            <x v="6"/>
          </reference>
          <reference field="7" count="1" selected="0">
            <x v="44"/>
          </reference>
        </references>
      </pivotArea>
    </chartFormat>
    <chartFormat chart="2" format="270">
      <pivotArea type="data" outline="0" fieldPosition="0">
        <references count="3">
          <reference field="4294967294" count="1" selected="0">
            <x v="1"/>
          </reference>
          <reference field="1" count="1" selected="0">
            <x v="6"/>
          </reference>
          <reference field="7" count="1" selected="0">
            <x v="126"/>
          </reference>
        </references>
      </pivotArea>
    </chartFormat>
    <chartFormat chart="2" format="271">
      <pivotArea type="data" outline="0" fieldPosition="0">
        <references count="3">
          <reference field="4294967294" count="1" selected="0">
            <x v="1"/>
          </reference>
          <reference field="1" count="1" selected="0">
            <x v="7"/>
          </reference>
          <reference field="7" count="1" selected="0">
            <x v="37"/>
          </reference>
        </references>
      </pivotArea>
    </chartFormat>
    <chartFormat chart="2" format="272">
      <pivotArea type="data" outline="0" fieldPosition="0">
        <references count="3">
          <reference field="4294967294" count="1" selected="0">
            <x v="1"/>
          </reference>
          <reference field="1" count="1" selected="0">
            <x v="7"/>
          </reference>
          <reference field="7" count="1" selected="0">
            <x v="88"/>
          </reference>
        </references>
      </pivotArea>
    </chartFormat>
    <chartFormat chart="2" format="273">
      <pivotArea type="data" outline="0" fieldPosition="0">
        <references count="3">
          <reference field="4294967294" count="1" selected="0">
            <x v="1"/>
          </reference>
          <reference field="1" count="1" selected="0">
            <x v="7"/>
          </reference>
          <reference field="7" count="1" selected="0">
            <x v="89"/>
          </reference>
        </references>
      </pivotArea>
    </chartFormat>
    <chartFormat chart="2" format="274">
      <pivotArea type="data" outline="0" fieldPosition="0">
        <references count="3">
          <reference field="4294967294" count="1" selected="0">
            <x v="1"/>
          </reference>
          <reference field="1" count="1" selected="0">
            <x v="7"/>
          </reference>
          <reference field="7" count="1" selected="0">
            <x v="125"/>
          </reference>
        </references>
      </pivotArea>
    </chartFormat>
    <chartFormat chart="2" format="275">
      <pivotArea type="data" outline="0" fieldPosition="0">
        <references count="3">
          <reference field="4294967294" count="1" selected="0">
            <x v="1"/>
          </reference>
          <reference field="1" count="1" selected="0">
            <x v="7"/>
          </reference>
          <reference field="7" count="1" selected="0">
            <x v="133"/>
          </reference>
        </references>
      </pivotArea>
    </chartFormat>
    <chartFormat chart="2" format="276">
      <pivotArea type="data" outline="0" fieldPosition="0">
        <references count="3">
          <reference field="4294967294" count="1" selected="0">
            <x v="1"/>
          </reference>
          <reference field="1" count="1" selected="0">
            <x v="7"/>
          </reference>
          <reference field="7" count="1" selected="0">
            <x v="135"/>
          </reference>
        </references>
      </pivotArea>
    </chartFormat>
    <chartFormat chart="2" format="277">
      <pivotArea type="data" outline="0" fieldPosition="0">
        <references count="3">
          <reference field="4294967294" count="1" selected="0">
            <x v="1"/>
          </reference>
          <reference field="1" count="1" selected="0">
            <x v="8"/>
          </reference>
          <reference field="7" count="1" selected="0">
            <x v="67"/>
          </reference>
        </references>
      </pivotArea>
    </chartFormat>
    <chartFormat chart="2" format="278">
      <pivotArea type="data" outline="0" fieldPosition="0">
        <references count="3">
          <reference field="4294967294" count="1" selected="0">
            <x v="1"/>
          </reference>
          <reference field="1" count="1" selected="0">
            <x v="8"/>
          </reference>
          <reference field="7" count="1" selected="0">
            <x v="75"/>
          </reference>
        </references>
      </pivotArea>
    </chartFormat>
    <chartFormat chart="2" format="279">
      <pivotArea type="data" outline="0" fieldPosition="0">
        <references count="3">
          <reference field="4294967294" count="1" selected="0">
            <x v="1"/>
          </reference>
          <reference field="1" count="1" selected="0">
            <x v="8"/>
          </reference>
          <reference field="7" count="1" selected="0">
            <x v="79"/>
          </reference>
        </references>
      </pivotArea>
    </chartFormat>
    <chartFormat chart="2" format="280">
      <pivotArea type="data" outline="0" fieldPosition="0">
        <references count="3">
          <reference field="4294967294" count="1" selected="0">
            <x v="1"/>
          </reference>
          <reference field="1" count="1" selected="0">
            <x v="8"/>
          </reference>
          <reference field="7" count="1" selected="0">
            <x v="97"/>
          </reference>
        </references>
      </pivotArea>
    </chartFormat>
    <chartFormat chart="2" format="281">
      <pivotArea type="data" outline="0" fieldPosition="0">
        <references count="3">
          <reference field="4294967294" count="1" selected="0">
            <x v="1"/>
          </reference>
          <reference field="1" count="1" selected="0">
            <x v="9"/>
          </reference>
          <reference field="7" count="1" selected="0">
            <x v="140"/>
          </reference>
        </references>
      </pivotArea>
    </chartFormat>
    <chartFormat chart="2" format="282">
      <pivotArea type="data" outline="0" fieldPosition="0">
        <references count="3">
          <reference field="4294967294" count="1" selected="0">
            <x v="1"/>
          </reference>
          <reference field="1" count="1" selected="0">
            <x v="10"/>
          </reference>
          <reference field="7" count="1" selected="0">
            <x v="5"/>
          </reference>
        </references>
      </pivotArea>
    </chartFormat>
    <chartFormat chart="2" format="283">
      <pivotArea type="data" outline="0" fieldPosition="0">
        <references count="3">
          <reference field="4294967294" count="1" selected="0">
            <x v="1"/>
          </reference>
          <reference field="1" count="1" selected="0">
            <x v="10"/>
          </reference>
          <reference field="7" count="1" selected="0">
            <x v="31"/>
          </reference>
        </references>
      </pivotArea>
    </chartFormat>
    <chartFormat chart="2" format="284">
      <pivotArea type="data" outline="0" fieldPosition="0">
        <references count="3">
          <reference field="4294967294" count="1" selected="0">
            <x v="1"/>
          </reference>
          <reference field="1" count="1" selected="0">
            <x v="10"/>
          </reference>
          <reference field="7" count="1" selected="0">
            <x v="32"/>
          </reference>
        </references>
      </pivotArea>
    </chartFormat>
    <chartFormat chart="2" format="285">
      <pivotArea type="data" outline="0" fieldPosition="0">
        <references count="3">
          <reference field="4294967294" count="1" selected="0">
            <x v="1"/>
          </reference>
          <reference field="1" count="1" selected="0">
            <x v="10"/>
          </reference>
          <reference field="7" count="1" selected="0">
            <x v="51"/>
          </reference>
        </references>
      </pivotArea>
    </chartFormat>
    <chartFormat chart="2" format="286">
      <pivotArea type="data" outline="0" fieldPosition="0">
        <references count="3">
          <reference field="4294967294" count="1" selected="0">
            <x v="1"/>
          </reference>
          <reference field="1" count="1" selected="0">
            <x v="11"/>
          </reference>
          <reference field="7" count="1" selected="0">
            <x v="30"/>
          </reference>
        </references>
      </pivotArea>
    </chartFormat>
    <chartFormat chart="2" format="287">
      <pivotArea type="data" outline="0" fieldPosition="0">
        <references count="3">
          <reference field="4294967294" count="1" selected="0">
            <x v="1"/>
          </reference>
          <reference field="1" count="1" selected="0">
            <x v="11"/>
          </reference>
          <reference field="7" count="1" selected="0">
            <x v="32"/>
          </reference>
        </references>
      </pivotArea>
    </chartFormat>
    <chartFormat chart="2" format="288">
      <pivotArea type="data" outline="0" fieldPosition="0">
        <references count="3">
          <reference field="4294967294" count="1" selected="0">
            <x v="1"/>
          </reference>
          <reference field="1" count="1" selected="0">
            <x v="11"/>
          </reference>
          <reference field="7" count="1" selected="0">
            <x v="45"/>
          </reference>
        </references>
      </pivotArea>
    </chartFormat>
    <chartFormat chart="2" format="289">
      <pivotArea type="data" outline="0" fieldPosition="0">
        <references count="3">
          <reference field="4294967294" count="1" selected="0">
            <x v="1"/>
          </reference>
          <reference field="1" count="1" selected="0">
            <x v="11"/>
          </reference>
          <reference field="7" count="1" selected="0">
            <x v="78"/>
          </reference>
        </references>
      </pivotArea>
    </chartFormat>
    <chartFormat chart="2" format="290">
      <pivotArea type="data" outline="0" fieldPosition="0">
        <references count="3">
          <reference field="4294967294" count="1" selected="0">
            <x v="1"/>
          </reference>
          <reference field="1" count="1" selected="0">
            <x v="11"/>
          </reference>
          <reference field="7" count="1" selected="0">
            <x v="108"/>
          </reference>
        </references>
      </pivotArea>
    </chartFormat>
    <chartFormat chart="2" format="291">
      <pivotArea type="data" outline="0" fieldPosition="0">
        <references count="3">
          <reference field="4294967294" count="1" selected="0">
            <x v="1"/>
          </reference>
          <reference field="1" count="1" selected="0">
            <x v="11"/>
          </reference>
          <reference field="7" count="1" selected="0">
            <x v="111"/>
          </reference>
        </references>
      </pivotArea>
    </chartFormat>
    <chartFormat chart="2" format="292">
      <pivotArea type="data" outline="0" fieldPosition="0">
        <references count="3">
          <reference field="4294967294" count="1" selected="0">
            <x v="1"/>
          </reference>
          <reference field="1" count="1" selected="0">
            <x v="12"/>
          </reference>
          <reference field="7" count="1" selected="0">
            <x v="18"/>
          </reference>
        </references>
      </pivotArea>
    </chartFormat>
    <chartFormat chart="2" format="293">
      <pivotArea type="data" outline="0" fieldPosition="0">
        <references count="3">
          <reference field="4294967294" count="1" selected="0">
            <x v="1"/>
          </reference>
          <reference field="1" count="1" selected="0">
            <x v="12"/>
          </reference>
          <reference field="7" count="1" selected="0">
            <x v="22"/>
          </reference>
        </references>
      </pivotArea>
    </chartFormat>
    <chartFormat chart="2" format="294">
      <pivotArea type="data" outline="0" fieldPosition="0">
        <references count="3">
          <reference field="4294967294" count="1" selected="0">
            <x v="1"/>
          </reference>
          <reference field="1" count="1" selected="0">
            <x v="12"/>
          </reference>
          <reference field="7" count="1" selected="0">
            <x v="26"/>
          </reference>
        </references>
      </pivotArea>
    </chartFormat>
    <chartFormat chart="2" format="295">
      <pivotArea type="data" outline="0" fieldPosition="0">
        <references count="3">
          <reference field="4294967294" count="1" selected="0">
            <x v="1"/>
          </reference>
          <reference field="1" count="1" selected="0">
            <x v="12"/>
          </reference>
          <reference field="7" count="1" selected="0">
            <x v="33"/>
          </reference>
        </references>
      </pivotArea>
    </chartFormat>
    <chartFormat chart="2" format="296">
      <pivotArea type="data" outline="0" fieldPosition="0">
        <references count="3">
          <reference field="4294967294" count="1" selected="0">
            <x v="1"/>
          </reference>
          <reference field="1" count="1" selected="0">
            <x v="12"/>
          </reference>
          <reference field="7" count="1" selected="0">
            <x v="72"/>
          </reference>
        </references>
      </pivotArea>
    </chartFormat>
    <chartFormat chart="2" format="297">
      <pivotArea type="data" outline="0" fieldPosition="0">
        <references count="3">
          <reference field="4294967294" count="1" selected="0">
            <x v="1"/>
          </reference>
          <reference field="1" count="1" selected="0">
            <x v="12"/>
          </reference>
          <reference field="7" count="1" selected="0">
            <x v="78"/>
          </reference>
        </references>
      </pivotArea>
    </chartFormat>
    <chartFormat chart="2" format="298">
      <pivotArea type="data" outline="0" fieldPosition="0">
        <references count="3">
          <reference field="4294967294" count="1" selected="0">
            <x v="1"/>
          </reference>
          <reference field="1" count="1" selected="0">
            <x v="12"/>
          </reference>
          <reference field="7" count="1" selected="0">
            <x v="102"/>
          </reference>
        </references>
      </pivotArea>
    </chartFormat>
    <chartFormat chart="2" format="299">
      <pivotArea type="data" outline="0" fieldPosition="0">
        <references count="3">
          <reference field="4294967294" count="1" selected="0">
            <x v="1"/>
          </reference>
          <reference field="1" count="1" selected="0">
            <x v="12"/>
          </reference>
          <reference field="7" count="1" selected="0">
            <x v="118"/>
          </reference>
        </references>
      </pivotArea>
    </chartFormat>
    <chartFormat chart="2" format="300">
      <pivotArea type="data" outline="0" fieldPosition="0">
        <references count="3">
          <reference field="4294967294" count="1" selected="0">
            <x v="1"/>
          </reference>
          <reference field="1" count="1" selected="0">
            <x v="12"/>
          </reference>
          <reference field="7" count="1" selected="0">
            <x v="123"/>
          </reference>
        </references>
      </pivotArea>
    </chartFormat>
    <chartFormat chart="2" format="301">
      <pivotArea type="data" outline="0" fieldPosition="0">
        <references count="3">
          <reference field="4294967294" count="1" selected="0">
            <x v="1"/>
          </reference>
          <reference field="1" count="1" selected="0">
            <x v="12"/>
          </reference>
          <reference field="7" count="1" selected="0">
            <x v="140"/>
          </reference>
        </references>
      </pivotArea>
    </chartFormat>
    <chartFormat chart="2" format="302">
      <pivotArea type="data" outline="0" fieldPosition="0">
        <references count="3">
          <reference field="4294967294" count="1" selected="0">
            <x v="1"/>
          </reference>
          <reference field="1" count="1" selected="0">
            <x v="13"/>
          </reference>
          <reference field="7" count="1" selected="0">
            <x v="9"/>
          </reference>
        </references>
      </pivotArea>
    </chartFormat>
    <chartFormat chart="2" format="303">
      <pivotArea type="data" outline="0" fieldPosition="0">
        <references count="3">
          <reference field="4294967294" count="1" selected="0">
            <x v="1"/>
          </reference>
          <reference field="1" count="1" selected="0">
            <x v="13"/>
          </reference>
          <reference field="7" count="1" selected="0">
            <x v="43"/>
          </reference>
        </references>
      </pivotArea>
    </chartFormat>
    <chartFormat chart="2" format="304">
      <pivotArea type="data" outline="0" fieldPosition="0">
        <references count="3">
          <reference field="4294967294" count="1" selected="0">
            <x v="1"/>
          </reference>
          <reference field="1" count="1" selected="0">
            <x v="13"/>
          </reference>
          <reference field="7" count="1" selected="0">
            <x v="57"/>
          </reference>
        </references>
      </pivotArea>
    </chartFormat>
    <chartFormat chart="2" format="305">
      <pivotArea type="data" outline="0" fieldPosition="0">
        <references count="3">
          <reference field="4294967294" count="1" selected="0">
            <x v="1"/>
          </reference>
          <reference field="1" count="1" selected="0">
            <x v="13"/>
          </reference>
          <reference field="7" count="1" selected="0">
            <x v="70"/>
          </reference>
        </references>
      </pivotArea>
    </chartFormat>
    <chartFormat chart="2" format="306">
      <pivotArea type="data" outline="0" fieldPosition="0">
        <references count="3">
          <reference field="4294967294" count="1" selected="0">
            <x v="1"/>
          </reference>
          <reference field="1" count="1" selected="0">
            <x v="13"/>
          </reference>
          <reference field="7" count="1" selected="0">
            <x v="121"/>
          </reference>
        </references>
      </pivotArea>
    </chartFormat>
    <chartFormat chart="2" format="307">
      <pivotArea type="data" outline="0" fieldPosition="0">
        <references count="3">
          <reference field="4294967294" count="1" selected="0">
            <x v="1"/>
          </reference>
          <reference field="1" count="1" selected="0">
            <x v="13"/>
          </reference>
          <reference field="7" count="1" selected="0">
            <x v="136"/>
          </reference>
        </references>
      </pivotArea>
    </chartFormat>
    <chartFormat chart="2" format="308">
      <pivotArea type="data" outline="0" fieldPosition="0">
        <references count="3">
          <reference field="4294967294" count="1" selected="0">
            <x v="1"/>
          </reference>
          <reference field="1" count="1" selected="0">
            <x v="14"/>
          </reference>
          <reference field="7" count="1" selected="0">
            <x v="17"/>
          </reference>
        </references>
      </pivotArea>
    </chartFormat>
    <chartFormat chart="2" format="309">
      <pivotArea type="data" outline="0" fieldPosition="0">
        <references count="3">
          <reference field="4294967294" count="1" selected="0">
            <x v="1"/>
          </reference>
          <reference field="1" count="1" selected="0">
            <x v="14"/>
          </reference>
          <reference field="7" count="1" selected="0">
            <x v="42"/>
          </reference>
        </references>
      </pivotArea>
    </chartFormat>
    <chartFormat chart="2" format="310">
      <pivotArea type="data" outline="0" fieldPosition="0">
        <references count="3">
          <reference field="4294967294" count="1" selected="0">
            <x v="1"/>
          </reference>
          <reference field="1" count="1" selected="0">
            <x v="14"/>
          </reference>
          <reference field="7" count="1" selected="0">
            <x v="84"/>
          </reference>
        </references>
      </pivotArea>
    </chartFormat>
    <chartFormat chart="2" format="311">
      <pivotArea type="data" outline="0" fieldPosition="0">
        <references count="3">
          <reference field="4294967294" count="1" selected="0">
            <x v="1"/>
          </reference>
          <reference field="1" count="1" selected="0">
            <x v="14"/>
          </reference>
          <reference field="7" count="1" selected="0">
            <x v="105"/>
          </reference>
        </references>
      </pivotArea>
    </chartFormat>
    <chartFormat chart="2" format="312">
      <pivotArea type="data" outline="0" fieldPosition="0">
        <references count="3">
          <reference field="4294967294" count="1" selected="0">
            <x v="1"/>
          </reference>
          <reference field="1" count="1" selected="0">
            <x v="14"/>
          </reference>
          <reference field="7" count="1" selected="0">
            <x v="134"/>
          </reference>
        </references>
      </pivotArea>
    </chartFormat>
    <chartFormat chart="2" format="313">
      <pivotArea type="data" outline="0" fieldPosition="0">
        <references count="3">
          <reference field="4294967294" count="1" selected="0">
            <x v="1"/>
          </reference>
          <reference field="1" count="1" selected="0">
            <x v="15"/>
          </reference>
          <reference field="7" count="1" selected="0">
            <x v="31"/>
          </reference>
        </references>
      </pivotArea>
    </chartFormat>
    <chartFormat chart="2" format="314">
      <pivotArea type="data" outline="0" fieldPosition="0">
        <references count="3">
          <reference field="4294967294" count="1" selected="0">
            <x v="1"/>
          </reference>
          <reference field="1" count="1" selected="0">
            <x v="15"/>
          </reference>
          <reference field="7" count="1" selected="0">
            <x v="54"/>
          </reference>
        </references>
      </pivotArea>
    </chartFormat>
    <chartFormat chart="2" format="315">
      <pivotArea type="data" outline="0" fieldPosition="0">
        <references count="3">
          <reference field="4294967294" count="1" selected="0">
            <x v="1"/>
          </reference>
          <reference field="1" count="1" selected="0">
            <x v="16"/>
          </reference>
          <reference field="7" count="1" selected="0">
            <x v="75"/>
          </reference>
        </references>
      </pivotArea>
    </chartFormat>
    <chartFormat chart="2" format="316">
      <pivotArea type="data" outline="0" fieldPosition="0">
        <references count="3">
          <reference field="4294967294" count="1" selected="0">
            <x v="1"/>
          </reference>
          <reference field="1" count="1" selected="0">
            <x v="16"/>
          </reference>
          <reference field="7" count="1" selected="0">
            <x v="90"/>
          </reference>
        </references>
      </pivotArea>
    </chartFormat>
    <chartFormat chart="2" format="317">
      <pivotArea type="data" outline="0" fieldPosition="0">
        <references count="3">
          <reference field="4294967294" count="1" selected="0">
            <x v="1"/>
          </reference>
          <reference field="1" count="1" selected="0">
            <x v="16"/>
          </reference>
          <reference field="7" count="1" selected="0">
            <x v="104"/>
          </reference>
        </references>
      </pivotArea>
    </chartFormat>
    <chartFormat chart="2" format="318">
      <pivotArea type="data" outline="0" fieldPosition="0">
        <references count="3">
          <reference field="4294967294" count="1" selected="0">
            <x v="1"/>
          </reference>
          <reference field="1" count="1" selected="0">
            <x v="16"/>
          </reference>
          <reference field="7" count="1" selected="0">
            <x v="116"/>
          </reference>
        </references>
      </pivotArea>
    </chartFormat>
    <chartFormat chart="2" format="319">
      <pivotArea type="data" outline="0" fieldPosition="0">
        <references count="3">
          <reference field="4294967294" count="1" selected="0">
            <x v="1"/>
          </reference>
          <reference field="1" count="1" selected="0">
            <x v="16"/>
          </reference>
          <reference field="7" count="1" selected="0">
            <x v="135"/>
          </reference>
        </references>
      </pivotArea>
    </chartFormat>
    <chartFormat chart="2" format="320">
      <pivotArea type="data" outline="0" fieldPosition="0">
        <references count="3">
          <reference field="4294967294" count="1" selected="0">
            <x v="1"/>
          </reference>
          <reference field="1" count="1" selected="0">
            <x v="17"/>
          </reference>
          <reference field="7" count="1" selected="0">
            <x v="34"/>
          </reference>
        </references>
      </pivotArea>
    </chartFormat>
    <chartFormat chart="2" format="321">
      <pivotArea type="data" outline="0" fieldPosition="0">
        <references count="3">
          <reference field="4294967294" count="1" selected="0">
            <x v="1"/>
          </reference>
          <reference field="1" count="1" selected="0">
            <x v="17"/>
          </reference>
          <reference field="7" count="1" selected="0">
            <x v="38"/>
          </reference>
        </references>
      </pivotArea>
    </chartFormat>
    <chartFormat chart="2" format="322">
      <pivotArea type="data" outline="0" fieldPosition="0">
        <references count="3">
          <reference field="4294967294" count="1" selected="0">
            <x v="1"/>
          </reference>
          <reference field="1" count="1" selected="0">
            <x v="17"/>
          </reference>
          <reference field="7" count="1" selected="0">
            <x v="61"/>
          </reference>
        </references>
      </pivotArea>
    </chartFormat>
    <chartFormat chart="2" format="323">
      <pivotArea type="data" outline="0" fieldPosition="0">
        <references count="3">
          <reference field="4294967294" count="1" selected="0">
            <x v="1"/>
          </reference>
          <reference field="1" count="1" selected="0">
            <x v="17"/>
          </reference>
          <reference field="7" count="1" selected="0">
            <x v="96"/>
          </reference>
        </references>
      </pivotArea>
    </chartFormat>
    <chartFormat chart="2" format="324">
      <pivotArea type="data" outline="0" fieldPosition="0">
        <references count="3">
          <reference field="4294967294" count="1" selected="0">
            <x v="1"/>
          </reference>
          <reference field="1" count="1" selected="0">
            <x v="17"/>
          </reference>
          <reference field="7" count="1" selected="0">
            <x v="120"/>
          </reference>
        </references>
      </pivotArea>
    </chartFormat>
    <chartFormat chart="2" format="325">
      <pivotArea type="data" outline="0" fieldPosition="0">
        <references count="3">
          <reference field="4294967294" count="1" selected="0">
            <x v="1"/>
          </reference>
          <reference field="1" count="1" selected="0">
            <x v="17"/>
          </reference>
          <reference field="7" count="1" selected="0">
            <x v="139"/>
          </reference>
        </references>
      </pivotArea>
    </chartFormat>
    <chartFormat chart="2" format="326">
      <pivotArea type="data" outline="0" fieldPosition="0">
        <references count="3">
          <reference field="4294967294" count="1" selected="0">
            <x v="1"/>
          </reference>
          <reference field="1" count="1" selected="0">
            <x v="18"/>
          </reference>
          <reference field="7" count="1" selected="0">
            <x v="34"/>
          </reference>
        </references>
      </pivotArea>
    </chartFormat>
    <chartFormat chart="2" format="327">
      <pivotArea type="data" outline="0" fieldPosition="0">
        <references count="3">
          <reference field="4294967294" count="1" selected="0">
            <x v="1"/>
          </reference>
          <reference field="1" count="1" selected="0">
            <x v="18"/>
          </reference>
          <reference field="7" count="1" selected="0">
            <x v="39"/>
          </reference>
        </references>
      </pivotArea>
    </chartFormat>
    <chartFormat chart="2" format="328">
      <pivotArea type="data" outline="0" fieldPosition="0">
        <references count="3">
          <reference field="4294967294" count="1" selected="0">
            <x v="1"/>
          </reference>
          <reference field="1" count="1" selected="0">
            <x v="18"/>
          </reference>
          <reference field="7" count="1" selected="0">
            <x v="46"/>
          </reference>
        </references>
      </pivotArea>
    </chartFormat>
    <chartFormat chart="2" format="329">
      <pivotArea type="data" outline="0" fieldPosition="0">
        <references count="3">
          <reference field="4294967294" count="1" selected="0">
            <x v="1"/>
          </reference>
          <reference field="1" count="1" selected="0">
            <x v="18"/>
          </reference>
          <reference field="7" count="1" selected="0">
            <x v="63"/>
          </reference>
        </references>
      </pivotArea>
    </chartFormat>
    <chartFormat chart="2" format="330">
      <pivotArea type="data" outline="0" fieldPosition="0">
        <references count="3">
          <reference field="4294967294" count="1" selected="0">
            <x v="1"/>
          </reference>
          <reference field="1" count="1" selected="0">
            <x v="18"/>
          </reference>
          <reference field="7" count="1" selected="0">
            <x v="95"/>
          </reference>
        </references>
      </pivotArea>
    </chartFormat>
    <chartFormat chart="2" format="331">
      <pivotArea type="data" outline="0" fieldPosition="0">
        <references count="3">
          <reference field="4294967294" count="1" selected="0">
            <x v="1"/>
          </reference>
          <reference field="1" count="1" selected="0">
            <x v="19"/>
          </reference>
          <reference field="7" count="1" selected="0">
            <x v="67"/>
          </reference>
        </references>
      </pivotArea>
    </chartFormat>
    <chartFormat chart="2" format="332">
      <pivotArea type="data" outline="0" fieldPosition="0">
        <references count="3">
          <reference field="4294967294" count="1" selected="0">
            <x v="1"/>
          </reference>
          <reference field="1" count="1" selected="0">
            <x v="19"/>
          </reference>
          <reference field="7" count="1" selected="0">
            <x v="68"/>
          </reference>
        </references>
      </pivotArea>
    </chartFormat>
    <chartFormat chart="2" format="333">
      <pivotArea type="data" outline="0" fieldPosition="0">
        <references count="3">
          <reference field="4294967294" count="1" selected="0">
            <x v="1"/>
          </reference>
          <reference field="1" count="1" selected="0">
            <x v="19"/>
          </reference>
          <reference field="7" count="1" selected="0">
            <x v="74"/>
          </reference>
        </references>
      </pivotArea>
    </chartFormat>
    <chartFormat chart="2" format="334">
      <pivotArea type="data" outline="0" fieldPosition="0">
        <references count="3">
          <reference field="4294967294" count="1" selected="0">
            <x v="1"/>
          </reference>
          <reference field="1" count="1" selected="0">
            <x v="19"/>
          </reference>
          <reference field="7" count="1" selected="0">
            <x v="113"/>
          </reference>
        </references>
      </pivotArea>
    </chartFormat>
    <chartFormat chart="2" format="335">
      <pivotArea type="data" outline="0" fieldPosition="0">
        <references count="3">
          <reference field="4294967294" count="1" selected="0">
            <x v="1"/>
          </reference>
          <reference field="1" count="1" selected="0">
            <x v="19"/>
          </reference>
          <reference field="7" count="1" selected="0">
            <x v="115"/>
          </reference>
        </references>
      </pivotArea>
    </chartFormat>
    <chartFormat chart="2" format="336">
      <pivotArea type="data" outline="0" fieldPosition="0">
        <references count="3">
          <reference field="4294967294" count="1" selected="0">
            <x v="1"/>
          </reference>
          <reference field="1" count="1" selected="0">
            <x v="19"/>
          </reference>
          <reference field="7" count="1" selected="0">
            <x v="137"/>
          </reference>
        </references>
      </pivotArea>
    </chartFormat>
    <chartFormat chart="2" format="337">
      <pivotArea type="data" outline="0" fieldPosition="0">
        <references count="3">
          <reference field="4294967294" count="1" selected="0">
            <x v="1"/>
          </reference>
          <reference field="1" count="1" selected="0">
            <x v="20"/>
          </reference>
          <reference field="7" count="1" selected="0">
            <x v="1"/>
          </reference>
        </references>
      </pivotArea>
    </chartFormat>
    <chartFormat chart="2" format="338">
      <pivotArea type="data" outline="0" fieldPosition="0">
        <references count="3">
          <reference field="4294967294" count="1" selected="0">
            <x v="1"/>
          </reference>
          <reference field="1" count="1" selected="0">
            <x v="20"/>
          </reference>
          <reference field="7" count="1" selected="0">
            <x v="9"/>
          </reference>
        </references>
      </pivotArea>
    </chartFormat>
    <chartFormat chart="2" format="339">
      <pivotArea type="data" outline="0" fieldPosition="0">
        <references count="3">
          <reference field="4294967294" count="1" selected="0">
            <x v="1"/>
          </reference>
          <reference field="1" count="1" selected="0">
            <x v="20"/>
          </reference>
          <reference field="7" count="1" selected="0">
            <x v="13"/>
          </reference>
        </references>
      </pivotArea>
    </chartFormat>
    <chartFormat chart="2" format="340">
      <pivotArea type="data" outline="0" fieldPosition="0">
        <references count="3">
          <reference field="4294967294" count="1" selected="0">
            <x v="1"/>
          </reference>
          <reference field="1" count="1" selected="0">
            <x v="20"/>
          </reference>
          <reference field="7" count="1" selected="0">
            <x v="26"/>
          </reference>
        </references>
      </pivotArea>
    </chartFormat>
    <chartFormat chart="2" format="341">
      <pivotArea type="data" outline="0" fieldPosition="0">
        <references count="3">
          <reference field="4294967294" count="1" selected="0">
            <x v="1"/>
          </reference>
          <reference field="1" count="1" selected="0">
            <x v="20"/>
          </reference>
          <reference field="7" count="1" selected="0">
            <x v="92"/>
          </reference>
        </references>
      </pivotArea>
    </chartFormat>
    <chartFormat chart="2" format="342">
      <pivotArea type="data" outline="0" fieldPosition="0">
        <references count="3">
          <reference field="4294967294" count="1" selected="0">
            <x v="1"/>
          </reference>
          <reference field="1" count="1" selected="0">
            <x v="20"/>
          </reference>
          <reference field="7" count="1" selected="0">
            <x v="119"/>
          </reference>
        </references>
      </pivotArea>
    </chartFormat>
    <chartFormat chart="2" format="343">
      <pivotArea type="data" outline="0" fieldPosition="0">
        <references count="3">
          <reference field="4294967294" count="1" selected="0">
            <x v="1"/>
          </reference>
          <reference field="1" count="1" selected="0">
            <x v="20"/>
          </reference>
          <reference field="7" count="1" selected="0">
            <x v="141"/>
          </reference>
        </references>
      </pivotArea>
    </chartFormat>
    <chartFormat chart="2" format="344">
      <pivotArea type="data" outline="0" fieldPosition="0">
        <references count="3">
          <reference field="4294967294" count="1" selected="0">
            <x v="1"/>
          </reference>
          <reference field="1" count="1" selected="0">
            <x v="21"/>
          </reference>
          <reference field="7" count="1" selected="0">
            <x v="25"/>
          </reference>
        </references>
      </pivotArea>
    </chartFormat>
    <chartFormat chart="2" format="345">
      <pivotArea type="data" outline="0" fieldPosition="0">
        <references count="3">
          <reference field="4294967294" count="1" selected="0">
            <x v="1"/>
          </reference>
          <reference field="1" count="1" selected="0">
            <x v="21"/>
          </reference>
          <reference field="7" count="1" selected="0">
            <x v="52"/>
          </reference>
        </references>
      </pivotArea>
    </chartFormat>
    <chartFormat chart="2" format="346">
      <pivotArea type="data" outline="0" fieldPosition="0">
        <references count="3">
          <reference field="4294967294" count="1" selected="0">
            <x v="1"/>
          </reference>
          <reference field="1" count="1" selected="0">
            <x v="21"/>
          </reference>
          <reference field="7" count="1" selected="0">
            <x v="55"/>
          </reference>
        </references>
      </pivotArea>
    </chartFormat>
    <chartFormat chart="2" format="347">
      <pivotArea type="data" outline="0" fieldPosition="0">
        <references count="3">
          <reference field="4294967294" count="1" selected="0">
            <x v="1"/>
          </reference>
          <reference field="1" count="1" selected="0">
            <x v="21"/>
          </reference>
          <reference field="7" count="1" selected="0">
            <x v="64"/>
          </reference>
        </references>
      </pivotArea>
    </chartFormat>
    <chartFormat chart="2" format="348">
      <pivotArea type="data" outline="0" fieldPosition="0">
        <references count="3">
          <reference field="4294967294" count="1" selected="0">
            <x v="1"/>
          </reference>
          <reference field="1" count="1" selected="0">
            <x v="21"/>
          </reference>
          <reference field="7" count="1" selected="0">
            <x v="82"/>
          </reference>
        </references>
      </pivotArea>
    </chartFormat>
    <chartFormat chart="2" format="349">
      <pivotArea type="data" outline="0" fieldPosition="0">
        <references count="3">
          <reference field="4294967294" count="1" selected="0">
            <x v="1"/>
          </reference>
          <reference field="1" count="1" selected="0">
            <x v="21"/>
          </reference>
          <reference field="7" count="1" selected="0">
            <x v="99"/>
          </reference>
        </references>
      </pivotArea>
    </chartFormat>
    <chartFormat chart="2" format="350">
      <pivotArea type="data" outline="0" fieldPosition="0">
        <references count="3">
          <reference field="4294967294" count="1" selected="0">
            <x v="1"/>
          </reference>
          <reference field="1" count="1" selected="0">
            <x v="21"/>
          </reference>
          <reference field="7" count="1" selected="0">
            <x v="112"/>
          </reference>
        </references>
      </pivotArea>
    </chartFormat>
    <chartFormat chart="2" format="351">
      <pivotArea type="data" outline="0" fieldPosition="0">
        <references count="3">
          <reference field="4294967294" count="1" selected="0">
            <x v="1"/>
          </reference>
          <reference field="1" count="1" selected="0">
            <x v="21"/>
          </reference>
          <reference field="7" count="1" selected="0">
            <x v="121"/>
          </reference>
        </references>
      </pivotArea>
    </chartFormat>
    <chartFormat chart="2" format="352">
      <pivotArea type="data" outline="0" fieldPosition="0">
        <references count="3">
          <reference field="4294967294" count="1" selected="0">
            <x v="1"/>
          </reference>
          <reference field="1" count="1" selected="0">
            <x v="21"/>
          </reference>
          <reference field="7" count="1" selected="0">
            <x v="124"/>
          </reference>
        </references>
      </pivotArea>
    </chartFormat>
    <chartFormat chart="2" format="353" series="1">
      <pivotArea type="data" outline="0" fieldPosition="0">
        <references count="1">
          <reference field="4294967294" count="1" selected="0">
            <x v="2"/>
          </reference>
        </references>
      </pivotArea>
    </chartFormat>
    <chartFormat chart="2" format="354">
      <pivotArea type="data" outline="0" fieldPosition="0">
        <references count="3">
          <reference field="4294967294" count="1" selected="0">
            <x v="2"/>
          </reference>
          <reference field="1" count="1" selected="0">
            <x v="0"/>
          </reference>
          <reference field="7" count="1" selected="0">
            <x v="11"/>
          </reference>
        </references>
      </pivotArea>
    </chartFormat>
    <chartFormat chart="2" format="355">
      <pivotArea type="data" outline="0" fieldPosition="0">
        <references count="3">
          <reference field="4294967294" count="1" selected="0">
            <x v="2"/>
          </reference>
          <reference field="1" count="1" selected="0">
            <x v="0"/>
          </reference>
          <reference field="7" count="1" selected="0">
            <x v="56"/>
          </reference>
        </references>
      </pivotArea>
    </chartFormat>
    <chartFormat chart="2" format="356">
      <pivotArea type="data" outline="0" fieldPosition="0">
        <references count="3">
          <reference field="4294967294" count="1" selected="0">
            <x v="2"/>
          </reference>
          <reference field="1" count="1" selected="0">
            <x v="0"/>
          </reference>
          <reference field="7" count="1" selected="0">
            <x v="116"/>
          </reference>
        </references>
      </pivotArea>
    </chartFormat>
    <chartFormat chart="2" format="357">
      <pivotArea type="data" outline="0" fieldPosition="0">
        <references count="3">
          <reference field="4294967294" count="1" selected="0">
            <x v="2"/>
          </reference>
          <reference field="1" count="1" selected="0">
            <x v="1"/>
          </reference>
          <reference field="7" count="1" selected="0">
            <x v="38"/>
          </reference>
        </references>
      </pivotArea>
    </chartFormat>
    <chartFormat chart="2" format="358">
      <pivotArea type="data" outline="0" fieldPosition="0">
        <references count="3">
          <reference field="4294967294" count="1" selected="0">
            <x v="2"/>
          </reference>
          <reference field="1" count="1" selected="0">
            <x v="1"/>
          </reference>
          <reference field="7" count="1" selected="0">
            <x v="59"/>
          </reference>
        </references>
      </pivotArea>
    </chartFormat>
    <chartFormat chart="2" format="359">
      <pivotArea type="data" outline="0" fieldPosition="0">
        <references count="3">
          <reference field="4294967294" count="1" selected="0">
            <x v="2"/>
          </reference>
          <reference field="1" count="1" selected="0">
            <x v="1"/>
          </reference>
          <reference field="7" count="1" selected="0">
            <x v="94"/>
          </reference>
        </references>
      </pivotArea>
    </chartFormat>
    <chartFormat chart="2" format="360">
      <pivotArea type="data" outline="0" fieldPosition="0">
        <references count="3">
          <reference field="4294967294" count="1" selected="0">
            <x v="2"/>
          </reference>
          <reference field="1" count="1" selected="0">
            <x v="2"/>
          </reference>
          <reference field="7" count="1" selected="0">
            <x v="10"/>
          </reference>
        </references>
      </pivotArea>
    </chartFormat>
    <chartFormat chart="2" format="361">
      <pivotArea type="data" outline="0" fieldPosition="0">
        <references count="3">
          <reference field="4294967294" count="1" selected="0">
            <x v="2"/>
          </reference>
          <reference field="1" count="1" selected="0">
            <x v="2"/>
          </reference>
          <reference field="7" count="1" selected="0">
            <x v="14"/>
          </reference>
        </references>
      </pivotArea>
    </chartFormat>
    <chartFormat chart="2" format="362">
      <pivotArea type="data" outline="0" fieldPosition="0">
        <references count="3">
          <reference field="4294967294" count="1" selected="0">
            <x v="2"/>
          </reference>
          <reference field="1" count="1" selected="0">
            <x v="2"/>
          </reference>
          <reference field="7" count="1" selected="0">
            <x v="21"/>
          </reference>
        </references>
      </pivotArea>
    </chartFormat>
    <chartFormat chart="2" format="363">
      <pivotArea type="data" outline="0" fieldPosition="0">
        <references count="3">
          <reference field="4294967294" count="1" selected="0">
            <x v="2"/>
          </reference>
          <reference field="1" count="1" selected="0">
            <x v="2"/>
          </reference>
          <reference field="7" count="1" selected="0">
            <x v="48"/>
          </reference>
        </references>
      </pivotArea>
    </chartFormat>
    <chartFormat chart="2" format="364">
      <pivotArea type="data" outline="0" fieldPosition="0">
        <references count="3">
          <reference field="4294967294" count="1" selected="0">
            <x v="2"/>
          </reference>
          <reference field="1" count="1" selected="0">
            <x v="2"/>
          </reference>
          <reference field="7" count="1" selected="0">
            <x v="52"/>
          </reference>
        </references>
      </pivotArea>
    </chartFormat>
    <chartFormat chart="2" format="365">
      <pivotArea type="data" outline="0" fieldPosition="0">
        <references count="3">
          <reference field="4294967294" count="1" selected="0">
            <x v="2"/>
          </reference>
          <reference field="1" count="1" selected="0">
            <x v="2"/>
          </reference>
          <reference field="7" count="1" selected="0">
            <x v="71"/>
          </reference>
        </references>
      </pivotArea>
    </chartFormat>
    <chartFormat chart="2" format="366">
      <pivotArea type="data" outline="0" fieldPosition="0">
        <references count="3">
          <reference field="4294967294" count="1" selected="0">
            <x v="2"/>
          </reference>
          <reference field="1" count="1" selected="0">
            <x v="2"/>
          </reference>
          <reference field="7" count="1" selected="0">
            <x v="110"/>
          </reference>
        </references>
      </pivotArea>
    </chartFormat>
    <chartFormat chart="2" format="367">
      <pivotArea type="data" outline="0" fieldPosition="0">
        <references count="3">
          <reference field="4294967294" count="1" selected="0">
            <x v="2"/>
          </reference>
          <reference field="1" count="1" selected="0">
            <x v="2"/>
          </reference>
          <reference field="7" count="1" selected="0">
            <x v="117"/>
          </reference>
        </references>
      </pivotArea>
    </chartFormat>
    <chartFormat chart="2" format="368">
      <pivotArea type="data" outline="0" fieldPosition="0">
        <references count="3">
          <reference field="4294967294" count="1" selected="0">
            <x v="2"/>
          </reference>
          <reference field="1" count="1" selected="0">
            <x v="2"/>
          </reference>
          <reference field="7" count="1" selected="0">
            <x v="122"/>
          </reference>
        </references>
      </pivotArea>
    </chartFormat>
    <chartFormat chart="2" format="369">
      <pivotArea type="data" outline="0" fieldPosition="0">
        <references count="3">
          <reference field="4294967294" count="1" selected="0">
            <x v="2"/>
          </reference>
          <reference field="1" count="1" selected="0">
            <x v="3"/>
          </reference>
          <reference field="7" count="1" selected="0">
            <x v="23"/>
          </reference>
        </references>
      </pivotArea>
    </chartFormat>
    <chartFormat chart="2" format="370">
      <pivotArea type="data" outline="0" fieldPosition="0">
        <references count="3">
          <reference field="4294967294" count="1" selected="0">
            <x v="2"/>
          </reference>
          <reference field="1" count="1" selected="0">
            <x v="3"/>
          </reference>
          <reference field="7" count="1" selected="0">
            <x v="47"/>
          </reference>
        </references>
      </pivotArea>
    </chartFormat>
    <chartFormat chart="2" format="371">
      <pivotArea type="data" outline="0" fieldPosition="0">
        <references count="3">
          <reference field="4294967294" count="1" selected="0">
            <x v="2"/>
          </reference>
          <reference field="1" count="1" selected="0">
            <x v="3"/>
          </reference>
          <reference field="7" count="1" selected="0">
            <x v="60"/>
          </reference>
        </references>
      </pivotArea>
    </chartFormat>
    <chartFormat chart="2" format="372">
      <pivotArea type="data" outline="0" fieldPosition="0">
        <references count="3">
          <reference field="4294967294" count="1" selected="0">
            <x v="2"/>
          </reference>
          <reference field="1" count="1" selected="0">
            <x v="3"/>
          </reference>
          <reference field="7" count="1" selected="0">
            <x v="62"/>
          </reference>
        </references>
      </pivotArea>
    </chartFormat>
    <chartFormat chart="2" format="373">
      <pivotArea type="data" outline="0" fieldPosition="0">
        <references count="3">
          <reference field="4294967294" count="1" selected="0">
            <x v="2"/>
          </reference>
          <reference field="1" count="1" selected="0">
            <x v="3"/>
          </reference>
          <reference field="7" count="1" selected="0">
            <x v="85"/>
          </reference>
        </references>
      </pivotArea>
    </chartFormat>
    <chartFormat chart="2" format="374">
      <pivotArea type="data" outline="0" fieldPosition="0">
        <references count="3">
          <reference field="4294967294" count="1" selected="0">
            <x v="2"/>
          </reference>
          <reference field="1" count="1" selected="0">
            <x v="4"/>
          </reference>
          <reference field="7" count="1" selected="0">
            <x v="29"/>
          </reference>
        </references>
      </pivotArea>
    </chartFormat>
    <chartFormat chart="2" format="375">
      <pivotArea type="data" outline="0" fieldPosition="0">
        <references count="3">
          <reference field="4294967294" count="1" selected="0">
            <x v="2"/>
          </reference>
          <reference field="1" count="1" selected="0">
            <x v="4"/>
          </reference>
          <reference field="7" count="1" selected="0">
            <x v="91"/>
          </reference>
        </references>
      </pivotArea>
    </chartFormat>
    <chartFormat chart="2" format="376">
      <pivotArea type="data" outline="0" fieldPosition="0">
        <references count="3">
          <reference field="4294967294" count="1" selected="0">
            <x v="2"/>
          </reference>
          <reference field="1" count="1" selected="0">
            <x v="4"/>
          </reference>
          <reference field="7" count="1" selected="0">
            <x v="103"/>
          </reference>
        </references>
      </pivotArea>
    </chartFormat>
    <chartFormat chart="2" format="377">
      <pivotArea type="data" outline="0" fieldPosition="0">
        <references count="3">
          <reference field="4294967294" count="1" selected="0">
            <x v="2"/>
          </reference>
          <reference field="1" count="1" selected="0">
            <x v="4"/>
          </reference>
          <reference field="7" count="1" selected="0">
            <x v="118"/>
          </reference>
        </references>
      </pivotArea>
    </chartFormat>
    <chartFormat chart="2" format="378">
      <pivotArea type="data" outline="0" fieldPosition="0">
        <references count="3">
          <reference field="4294967294" count="1" selected="0">
            <x v="2"/>
          </reference>
          <reference field="1" count="1" selected="0">
            <x v="5"/>
          </reference>
          <reference field="7" count="1" selected="0">
            <x v="46"/>
          </reference>
        </references>
      </pivotArea>
    </chartFormat>
    <chartFormat chart="2" format="379">
      <pivotArea type="data" outline="0" fieldPosition="0">
        <references count="3">
          <reference field="4294967294" count="1" selected="0">
            <x v="2"/>
          </reference>
          <reference field="1" count="1" selected="0">
            <x v="5"/>
          </reference>
          <reference field="7" count="1" selected="0">
            <x v="69"/>
          </reference>
        </references>
      </pivotArea>
    </chartFormat>
    <chartFormat chart="2" format="380">
      <pivotArea type="data" outline="0" fieldPosition="0">
        <references count="3">
          <reference field="4294967294" count="1" selected="0">
            <x v="2"/>
          </reference>
          <reference field="1" count="1" selected="0">
            <x v="5"/>
          </reference>
          <reference field="7" count="1" selected="0">
            <x v="73"/>
          </reference>
        </references>
      </pivotArea>
    </chartFormat>
    <chartFormat chart="2" format="381">
      <pivotArea type="data" outline="0" fieldPosition="0">
        <references count="3">
          <reference field="4294967294" count="1" selected="0">
            <x v="2"/>
          </reference>
          <reference field="1" count="1" selected="0">
            <x v="5"/>
          </reference>
          <reference field="7" count="1" selected="0">
            <x v="81"/>
          </reference>
        </references>
      </pivotArea>
    </chartFormat>
    <chartFormat chart="2" format="382">
      <pivotArea type="data" outline="0" fieldPosition="0">
        <references count="3">
          <reference field="4294967294" count="1" selected="0">
            <x v="2"/>
          </reference>
          <reference field="1" count="1" selected="0">
            <x v="5"/>
          </reference>
          <reference field="7" count="1" selected="0">
            <x v="98"/>
          </reference>
        </references>
      </pivotArea>
    </chartFormat>
    <chartFormat chart="2" format="383">
      <pivotArea type="data" outline="0" fieldPosition="0">
        <references count="3">
          <reference field="4294967294" count="1" selected="0">
            <x v="2"/>
          </reference>
          <reference field="1" count="1" selected="0">
            <x v="5"/>
          </reference>
          <reference field="7" count="1" selected="0">
            <x v="107"/>
          </reference>
        </references>
      </pivotArea>
    </chartFormat>
    <chartFormat chart="2" format="384">
      <pivotArea type="data" outline="0" fieldPosition="0">
        <references count="3">
          <reference field="4294967294" count="1" selected="0">
            <x v="2"/>
          </reference>
          <reference field="1" count="1" selected="0">
            <x v="6"/>
          </reference>
          <reference field="7" count="1" selected="0">
            <x v="19"/>
          </reference>
        </references>
      </pivotArea>
    </chartFormat>
    <chartFormat chart="2" format="385">
      <pivotArea type="data" outline="0" fieldPosition="0">
        <references count="3">
          <reference field="4294967294" count="1" selected="0">
            <x v="2"/>
          </reference>
          <reference field="1" count="1" selected="0">
            <x v="6"/>
          </reference>
          <reference field="7" count="1" selected="0">
            <x v="44"/>
          </reference>
        </references>
      </pivotArea>
    </chartFormat>
    <chartFormat chart="2" format="386">
      <pivotArea type="data" outline="0" fieldPosition="0">
        <references count="3">
          <reference field="4294967294" count="1" selected="0">
            <x v="2"/>
          </reference>
          <reference field="1" count="1" selected="0">
            <x v="6"/>
          </reference>
          <reference field="7" count="1" selected="0">
            <x v="126"/>
          </reference>
        </references>
      </pivotArea>
    </chartFormat>
    <chartFormat chart="2" format="387">
      <pivotArea type="data" outline="0" fieldPosition="0">
        <references count="3">
          <reference field="4294967294" count="1" selected="0">
            <x v="2"/>
          </reference>
          <reference field="1" count="1" selected="0">
            <x v="7"/>
          </reference>
          <reference field="7" count="1" selected="0">
            <x v="37"/>
          </reference>
        </references>
      </pivotArea>
    </chartFormat>
    <chartFormat chart="2" format="388">
      <pivotArea type="data" outline="0" fieldPosition="0">
        <references count="3">
          <reference field="4294967294" count="1" selected="0">
            <x v="2"/>
          </reference>
          <reference field="1" count="1" selected="0">
            <x v="7"/>
          </reference>
          <reference field="7" count="1" selected="0">
            <x v="88"/>
          </reference>
        </references>
      </pivotArea>
    </chartFormat>
    <chartFormat chart="2" format="389">
      <pivotArea type="data" outline="0" fieldPosition="0">
        <references count="3">
          <reference field="4294967294" count="1" selected="0">
            <x v="2"/>
          </reference>
          <reference field="1" count="1" selected="0">
            <x v="7"/>
          </reference>
          <reference field="7" count="1" selected="0">
            <x v="89"/>
          </reference>
        </references>
      </pivotArea>
    </chartFormat>
    <chartFormat chart="2" format="390">
      <pivotArea type="data" outline="0" fieldPosition="0">
        <references count="3">
          <reference field="4294967294" count="1" selected="0">
            <x v="2"/>
          </reference>
          <reference field="1" count="1" selected="0">
            <x v="7"/>
          </reference>
          <reference field="7" count="1" selected="0">
            <x v="125"/>
          </reference>
        </references>
      </pivotArea>
    </chartFormat>
    <chartFormat chart="2" format="391">
      <pivotArea type="data" outline="0" fieldPosition="0">
        <references count="3">
          <reference field="4294967294" count="1" selected="0">
            <x v="2"/>
          </reference>
          <reference field="1" count="1" selected="0">
            <x v="7"/>
          </reference>
          <reference field="7" count="1" selected="0">
            <x v="133"/>
          </reference>
        </references>
      </pivotArea>
    </chartFormat>
    <chartFormat chart="2" format="392">
      <pivotArea type="data" outline="0" fieldPosition="0">
        <references count="3">
          <reference field="4294967294" count="1" selected="0">
            <x v="2"/>
          </reference>
          <reference field="1" count="1" selected="0">
            <x v="7"/>
          </reference>
          <reference field="7" count="1" selected="0">
            <x v="135"/>
          </reference>
        </references>
      </pivotArea>
    </chartFormat>
    <chartFormat chart="2" format="393">
      <pivotArea type="data" outline="0" fieldPosition="0">
        <references count="3">
          <reference field="4294967294" count="1" selected="0">
            <x v="2"/>
          </reference>
          <reference field="1" count="1" selected="0">
            <x v="8"/>
          </reference>
          <reference field="7" count="1" selected="0">
            <x v="67"/>
          </reference>
        </references>
      </pivotArea>
    </chartFormat>
    <chartFormat chart="2" format="394">
      <pivotArea type="data" outline="0" fieldPosition="0">
        <references count="3">
          <reference field="4294967294" count="1" selected="0">
            <x v="2"/>
          </reference>
          <reference field="1" count="1" selected="0">
            <x v="8"/>
          </reference>
          <reference field="7" count="1" selected="0">
            <x v="75"/>
          </reference>
        </references>
      </pivotArea>
    </chartFormat>
    <chartFormat chart="2" format="395">
      <pivotArea type="data" outline="0" fieldPosition="0">
        <references count="3">
          <reference field="4294967294" count="1" selected="0">
            <x v="2"/>
          </reference>
          <reference field="1" count="1" selected="0">
            <x v="8"/>
          </reference>
          <reference field="7" count="1" selected="0">
            <x v="79"/>
          </reference>
        </references>
      </pivotArea>
    </chartFormat>
    <chartFormat chart="2" format="396">
      <pivotArea type="data" outline="0" fieldPosition="0">
        <references count="3">
          <reference field="4294967294" count="1" selected="0">
            <x v="2"/>
          </reference>
          <reference field="1" count="1" selected="0">
            <x v="8"/>
          </reference>
          <reference field="7" count="1" selected="0">
            <x v="97"/>
          </reference>
        </references>
      </pivotArea>
    </chartFormat>
    <chartFormat chart="2" format="397">
      <pivotArea type="data" outline="0" fieldPosition="0">
        <references count="3">
          <reference field="4294967294" count="1" selected="0">
            <x v="2"/>
          </reference>
          <reference field="1" count="1" selected="0">
            <x v="9"/>
          </reference>
          <reference field="7" count="1" selected="0">
            <x v="140"/>
          </reference>
        </references>
      </pivotArea>
    </chartFormat>
    <chartFormat chart="2" format="398">
      <pivotArea type="data" outline="0" fieldPosition="0">
        <references count="3">
          <reference field="4294967294" count="1" selected="0">
            <x v="2"/>
          </reference>
          <reference field="1" count="1" selected="0">
            <x v="10"/>
          </reference>
          <reference field="7" count="1" selected="0">
            <x v="5"/>
          </reference>
        </references>
      </pivotArea>
    </chartFormat>
    <chartFormat chart="2" format="399">
      <pivotArea type="data" outline="0" fieldPosition="0">
        <references count="3">
          <reference field="4294967294" count="1" selected="0">
            <x v="2"/>
          </reference>
          <reference field="1" count="1" selected="0">
            <x v="10"/>
          </reference>
          <reference field="7" count="1" selected="0">
            <x v="31"/>
          </reference>
        </references>
      </pivotArea>
    </chartFormat>
    <chartFormat chart="2" format="400">
      <pivotArea type="data" outline="0" fieldPosition="0">
        <references count="3">
          <reference field="4294967294" count="1" selected="0">
            <x v="2"/>
          </reference>
          <reference field="1" count="1" selected="0">
            <x v="10"/>
          </reference>
          <reference field="7" count="1" selected="0">
            <x v="32"/>
          </reference>
        </references>
      </pivotArea>
    </chartFormat>
    <chartFormat chart="2" format="401">
      <pivotArea type="data" outline="0" fieldPosition="0">
        <references count="3">
          <reference field="4294967294" count="1" selected="0">
            <x v="2"/>
          </reference>
          <reference field="1" count="1" selected="0">
            <x v="10"/>
          </reference>
          <reference field="7" count="1" selected="0">
            <x v="51"/>
          </reference>
        </references>
      </pivotArea>
    </chartFormat>
    <chartFormat chart="2" format="402">
      <pivotArea type="data" outline="0" fieldPosition="0">
        <references count="3">
          <reference field="4294967294" count="1" selected="0">
            <x v="2"/>
          </reference>
          <reference field="1" count="1" selected="0">
            <x v="11"/>
          </reference>
          <reference field="7" count="1" selected="0">
            <x v="30"/>
          </reference>
        </references>
      </pivotArea>
    </chartFormat>
    <chartFormat chart="2" format="403">
      <pivotArea type="data" outline="0" fieldPosition="0">
        <references count="3">
          <reference field="4294967294" count="1" selected="0">
            <x v="2"/>
          </reference>
          <reference field="1" count="1" selected="0">
            <x v="11"/>
          </reference>
          <reference field="7" count="1" selected="0">
            <x v="32"/>
          </reference>
        </references>
      </pivotArea>
    </chartFormat>
    <chartFormat chart="2" format="404">
      <pivotArea type="data" outline="0" fieldPosition="0">
        <references count="3">
          <reference field="4294967294" count="1" selected="0">
            <x v="2"/>
          </reference>
          <reference field="1" count="1" selected="0">
            <x v="11"/>
          </reference>
          <reference field="7" count="1" selected="0">
            <x v="45"/>
          </reference>
        </references>
      </pivotArea>
    </chartFormat>
    <chartFormat chart="2" format="405">
      <pivotArea type="data" outline="0" fieldPosition="0">
        <references count="3">
          <reference field="4294967294" count="1" selected="0">
            <x v="2"/>
          </reference>
          <reference field="1" count="1" selected="0">
            <x v="11"/>
          </reference>
          <reference field="7" count="1" selected="0">
            <x v="78"/>
          </reference>
        </references>
      </pivotArea>
    </chartFormat>
    <chartFormat chart="2" format="406">
      <pivotArea type="data" outline="0" fieldPosition="0">
        <references count="3">
          <reference field="4294967294" count="1" selected="0">
            <x v="2"/>
          </reference>
          <reference field="1" count="1" selected="0">
            <x v="11"/>
          </reference>
          <reference field="7" count="1" selected="0">
            <x v="108"/>
          </reference>
        </references>
      </pivotArea>
    </chartFormat>
    <chartFormat chart="2" format="407">
      <pivotArea type="data" outline="0" fieldPosition="0">
        <references count="3">
          <reference field="4294967294" count="1" selected="0">
            <x v="2"/>
          </reference>
          <reference field="1" count="1" selected="0">
            <x v="11"/>
          </reference>
          <reference field="7" count="1" selected="0">
            <x v="111"/>
          </reference>
        </references>
      </pivotArea>
    </chartFormat>
    <chartFormat chart="2" format="408">
      <pivotArea type="data" outline="0" fieldPosition="0">
        <references count="3">
          <reference field="4294967294" count="1" selected="0">
            <x v="2"/>
          </reference>
          <reference field="1" count="1" selected="0">
            <x v="12"/>
          </reference>
          <reference field="7" count="1" selected="0">
            <x v="18"/>
          </reference>
        </references>
      </pivotArea>
    </chartFormat>
    <chartFormat chart="2" format="409">
      <pivotArea type="data" outline="0" fieldPosition="0">
        <references count="3">
          <reference field="4294967294" count="1" selected="0">
            <x v="2"/>
          </reference>
          <reference field="1" count="1" selected="0">
            <x v="12"/>
          </reference>
          <reference field="7" count="1" selected="0">
            <x v="22"/>
          </reference>
        </references>
      </pivotArea>
    </chartFormat>
    <chartFormat chart="2" format="410">
      <pivotArea type="data" outline="0" fieldPosition="0">
        <references count="3">
          <reference field="4294967294" count="1" selected="0">
            <x v="2"/>
          </reference>
          <reference field="1" count="1" selected="0">
            <x v="12"/>
          </reference>
          <reference field="7" count="1" selected="0">
            <x v="26"/>
          </reference>
        </references>
      </pivotArea>
    </chartFormat>
    <chartFormat chart="2" format="411">
      <pivotArea type="data" outline="0" fieldPosition="0">
        <references count="3">
          <reference field="4294967294" count="1" selected="0">
            <x v="2"/>
          </reference>
          <reference field="1" count="1" selected="0">
            <x v="12"/>
          </reference>
          <reference field="7" count="1" selected="0">
            <x v="33"/>
          </reference>
        </references>
      </pivotArea>
    </chartFormat>
    <chartFormat chart="2" format="412">
      <pivotArea type="data" outline="0" fieldPosition="0">
        <references count="3">
          <reference field="4294967294" count="1" selected="0">
            <x v="2"/>
          </reference>
          <reference field="1" count="1" selected="0">
            <x v="12"/>
          </reference>
          <reference field="7" count="1" selected="0">
            <x v="72"/>
          </reference>
        </references>
      </pivotArea>
    </chartFormat>
    <chartFormat chart="2" format="413">
      <pivotArea type="data" outline="0" fieldPosition="0">
        <references count="3">
          <reference field="4294967294" count="1" selected="0">
            <x v="2"/>
          </reference>
          <reference field="1" count="1" selected="0">
            <x v="12"/>
          </reference>
          <reference field="7" count="1" selected="0">
            <x v="78"/>
          </reference>
        </references>
      </pivotArea>
    </chartFormat>
    <chartFormat chart="2" format="414">
      <pivotArea type="data" outline="0" fieldPosition="0">
        <references count="3">
          <reference field="4294967294" count="1" selected="0">
            <x v="2"/>
          </reference>
          <reference field="1" count="1" selected="0">
            <x v="12"/>
          </reference>
          <reference field="7" count="1" selected="0">
            <x v="102"/>
          </reference>
        </references>
      </pivotArea>
    </chartFormat>
    <chartFormat chart="2" format="415">
      <pivotArea type="data" outline="0" fieldPosition="0">
        <references count="3">
          <reference field="4294967294" count="1" selected="0">
            <x v="2"/>
          </reference>
          <reference field="1" count="1" selected="0">
            <x v="12"/>
          </reference>
          <reference field="7" count="1" selected="0">
            <x v="118"/>
          </reference>
        </references>
      </pivotArea>
    </chartFormat>
    <chartFormat chart="2" format="416">
      <pivotArea type="data" outline="0" fieldPosition="0">
        <references count="3">
          <reference field="4294967294" count="1" selected="0">
            <x v="2"/>
          </reference>
          <reference field="1" count="1" selected="0">
            <x v="12"/>
          </reference>
          <reference field="7" count="1" selected="0">
            <x v="123"/>
          </reference>
        </references>
      </pivotArea>
    </chartFormat>
    <chartFormat chart="2" format="417">
      <pivotArea type="data" outline="0" fieldPosition="0">
        <references count="3">
          <reference field="4294967294" count="1" selected="0">
            <x v="2"/>
          </reference>
          <reference field="1" count="1" selected="0">
            <x v="12"/>
          </reference>
          <reference field="7" count="1" selected="0">
            <x v="140"/>
          </reference>
        </references>
      </pivotArea>
    </chartFormat>
    <chartFormat chart="2" format="418">
      <pivotArea type="data" outline="0" fieldPosition="0">
        <references count="3">
          <reference field="4294967294" count="1" selected="0">
            <x v="2"/>
          </reference>
          <reference field="1" count="1" selected="0">
            <x v="13"/>
          </reference>
          <reference field="7" count="1" selected="0">
            <x v="9"/>
          </reference>
        </references>
      </pivotArea>
    </chartFormat>
    <chartFormat chart="2" format="419">
      <pivotArea type="data" outline="0" fieldPosition="0">
        <references count="3">
          <reference field="4294967294" count="1" selected="0">
            <x v="2"/>
          </reference>
          <reference field="1" count="1" selected="0">
            <x v="13"/>
          </reference>
          <reference field="7" count="1" selected="0">
            <x v="43"/>
          </reference>
        </references>
      </pivotArea>
    </chartFormat>
    <chartFormat chart="2" format="420">
      <pivotArea type="data" outline="0" fieldPosition="0">
        <references count="3">
          <reference field="4294967294" count="1" selected="0">
            <x v="2"/>
          </reference>
          <reference field="1" count="1" selected="0">
            <x v="13"/>
          </reference>
          <reference field="7" count="1" selected="0">
            <x v="57"/>
          </reference>
        </references>
      </pivotArea>
    </chartFormat>
    <chartFormat chart="2" format="421">
      <pivotArea type="data" outline="0" fieldPosition="0">
        <references count="3">
          <reference field="4294967294" count="1" selected="0">
            <x v="2"/>
          </reference>
          <reference field="1" count="1" selected="0">
            <x v="13"/>
          </reference>
          <reference field="7" count="1" selected="0">
            <x v="70"/>
          </reference>
        </references>
      </pivotArea>
    </chartFormat>
    <chartFormat chart="2" format="422">
      <pivotArea type="data" outline="0" fieldPosition="0">
        <references count="3">
          <reference field="4294967294" count="1" selected="0">
            <x v="2"/>
          </reference>
          <reference field="1" count="1" selected="0">
            <x v="13"/>
          </reference>
          <reference field="7" count="1" selected="0">
            <x v="121"/>
          </reference>
        </references>
      </pivotArea>
    </chartFormat>
    <chartFormat chart="2" format="423">
      <pivotArea type="data" outline="0" fieldPosition="0">
        <references count="3">
          <reference field="4294967294" count="1" selected="0">
            <x v="2"/>
          </reference>
          <reference field="1" count="1" selected="0">
            <x v="13"/>
          </reference>
          <reference field="7" count="1" selected="0">
            <x v="136"/>
          </reference>
        </references>
      </pivotArea>
    </chartFormat>
    <chartFormat chart="2" format="424">
      <pivotArea type="data" outline="0" fieldPosition="0">
        <references count="3">
          <reference field="4294967294" count="1" selected="0">
            <x v="2"/>
          </reference>
          <reference field="1" count="1" selected="0">
            <x v="14"/>
          </reference>
          <reference field="7" count="1" selected="0">
            <x v="17"/>
          </reference>
        </references>
      </pivotArea>
    </chartFormat>
    <chartFormat chart="2" format="425">
      <pivotArea type="data" outline="0" fieldPosition="0">
        <references count="3">
          <reference field="4294967294" count="1" selected="0">
            <x v="2"/>
          </reference>
          <reference field="1" count="1" selected="0">
            <x v="14"/>
          </reference>
          <reference field="7" count="1" selected="0">
            <x v="42"/>
          </reference>
        </references>
      </pivotArea>
    </chartFormat>
    <chartFormat chart="2" format="426">
      <pivotArea type="data" outline="0" fieldPosition="0">
        <references count="3">
          <reference field="4294967294" count="1" selected="0">
            <x v="2"/>
          </reference>
          <reference field="1" count="1" selected="0">
            <x v="14"/>
          </reference>
          <reference field="7" count="1" selected="0">
            <x v="84"/>
          </reference>
        </references>
      </pivotArea>
    </chartFormat>
    <chartFormat chart="2" format="427">
      <pivotArea type="data" outline="0" fieldPosition="0">
        <references count="3">
          <reference field="4294967294" count="1" selected="0">
            <x v="2"/>
          </reference>
          <reference field="1" count="1" selected="0">
            <x v="14"/>
          </reference>
          <reference field="7" count="1" selected="0">
            <x v="105"/>
          </reference>
        </references>
      </pivotArea>
    </chartFormat>
    <chartFormat chart="2" format="428">
      <pivotArea type="data" outline="0" fieldPosition="0">
        <references count="3">
          <reference field="4294967294" count="1" selected="0">
            <x v="2"/>
          </reference>
          <reference field="1" count="1" selected="0">
            <x v="14"/>
          </reference>
          <reference field="7" count="1" selected="0">
            <x v="134"/>
          </reference>
        </references>
      </pivotArea>
    </chartFormat>
    <chartFormat chart="2" format="429">
      <pivotArea type="data" outline="0" fieldPosition="0">
        <references count="3">
          <reference field="4294967294" count="1" selected="0">
            <x v="2"/>
          </reference>
          <reference field="1" count="1" selected="0">
            <x v="15"/>
          </reference>
          <reference field="7" count="1" selected="0">
            <x v="31"/>
          </reference>
        </references>
      </pivotArea>
    </chartFormat>
    <chartFormat chart="2" format="430">
      <pivotArea type="data" outline="0" fieldPosition="0">
        <references count="3">
          <reference field="4294967294" count="1" selected="0">
            <x v="2"/>
          </reference>
          <reference field="1" count="1" selected="0">
            <x v="15"/>
          </reference>
          <reference field="7" count="1" selected="0">
            <x v="54"/>
          </reference>
        </references>
      </pivotArea>
    </chartFormat>
    <chartFormat chart="2" format="431">
      <pivotArea type="data" outline="0" fieldPosition="0">
        <references count="3">
          <reference field="4294967294" count="1" selected="0">
            <x v="2"/>
          </reference>
          <reference field="1" count="1" selected="0">
            <x v="16"/>
          </reference>
          <reference field="7" count="1" selected="0">
            <x v="75"/>
          </reference>
        </references>
      </pivotArea>
    </chartFormat>
    <chartFormat chart="2" format="432">
      <pivotArea type="data" outline="0" fieldPosition="0">
        <references count="3">
          <reference field="4294967294" count="1" selected="0">
            <x v="2"/>
          </reference>
          <reference field="1" count="1" selected="0">
            <x v="16"/>
          </reference>
          <reference field="7" count="1" selected="0">
            <x v="90"/>
          </reference>
        </references>
      </pivotArea>
    </chartFormat>
    <chartFormat chart="2" format="433">
      <pivotArea type="data" outline="0" fieldPosition="0">
        <references count="3">
          <reference field="4294967294" count="1" selected="0">
            <x v="2"/>
          </reference>
          <reference field="1" count="1" selected="0">
            <x v="16"/>
          </reference>
          <reference field="7" count="1" selected="0">
            <x v="104"/>
          </reference>
        </references>
      </pivotArea>
    </chartFormat>
    <chartFormat chart="2" format="434">
      <pivotArea type="data" outline="0" fieldPosition="0">
        <references count="3">
          <reference field="4294967294" count="1" selected="0">
            <x v="2"/>
          </reference>
          <reference field="1" count="1" selected="0">
            <x v="16"/>
          </reference>
          <reference field="7" count="1" selected="0">
            <x v="116"/>
          </reference>
        </references>
      </pivotArea>
    </chartFormat>
    <chartFormat chart="2" format="435">
      <pivotArea type="data" outline="0" fieldPosition="0">
        <references count="3">
          <reference field="4294967294" count="1" selected="0">
            <x v="2"/>
          </reference>
          <reference field="1" count="1" selected="0">
            <x v="16"/>
          </reference>
          <reference field="7" count="1" selected="0">
            <x v="135"/>
          </reference>
        </references>
      </pivotArea>
    </chartFormat>
    <chartFormat chart="2" format="436">
      <pivotArea type="data" outline="0" fieldPosition="0">
        <references count="3">
          <reference field="4294967294" count="1" selected="0">
            <x v="2"/>
          </reference>
          <reference field="1" count="1" selected="0">
            <x v="17"/>
          </reference>
          <reference field="7" count="1" selected="0">
            <x v="34"/>
          </reference>
        </references>
      </pivotArea>
    </chartFormat>
    <chartFormat chart="2" format="437">
      <pivotArea type="data" outline="0" fieldPosition="0">
        <references count="3">
          <reference field="4294967294" count="1" selected="0">
            <x v="2"/>
          </reference>
          <reference field="1" count="1" selected="0">
            <x v="17"/>
          </reference>
          <reference field="7" count="1" selected="0">
            <x v="38"/>
          </reference>
        </references>
      </pivotArea>
    </chartFormat>
    <chartFormat chart="2" format="438">
      <pivotArea type="data" outline="0" fieldPosition="0">
        <references count="3">
          <reference field="4294967294" count="1" selected="0">
            <x v="2"/>
          </reference>
          <reference field="1" count="1" selected="0">
            <x v="17"/>
          </reference>
          <reference field="7" count="1" selected="0">
            <x v="61"/>
          </reference>
        </references>
      </pivotArea>
    </chartFormat>
    <chartFormat chart="2" format="439">
      <pivotArea type="data" outline="0" fieldPosition="0">
        <references count="3">
          <reference field="4294967294" count="1" selected="0">
            <x v="2"/>
          </reference>
          <reference field="1" count="1" selected="0">
            <x v="17"/>
          </reference>
          <reference field="7" count="1" selected="0">
            <x v="96"/>
          </reference>
        </references>
      </pivotArea>
    </chartFormat>
    <chartFormat chart="2" format="440">
      <pivotArea type="data" outline="0" fieldPosition="0">
        <references count="3">
          <reference field="4294967294" count="1" selected="0">
            <x v="2"/>
          </reference>
          <reference field="1" count="1" selected="0">
            <x v="17"/>
          </reference>
          <reference field="7" count="1" selected="0">
            <x v="120"/>
          </reference>
        </references>
      </pivotArea>
    </chartFormat>
    <chartFormat chart="2" format="441">
      <pivotArea type="data" outline="0" fieldPosition="0">
        <references count="3">
          <reference field="4294967294" count="1" selected="0">
            <x v="2"/>
          </reference>
          <reference field="1" count="1" selected="0">
            <x v="17"/>
          </reference>
          <reference field="7" count="1" selected="0">
            <x v="139"/>
          </reference>
        </references>
      </pivotArea>
    </chartFormat>
    <chartFormat chart="2" format="442">
      <pivotArea type="data" outline="0" fieldPosition="0">
        <references count="3">
          <reference field="4294967294" count="1" selected="0">
            <x v="2"/>
          </reference>
          <reference field="1" count="1" selected="0">
            <x v="18"/>
          </reference>
          <reference field="7" count="1" selected="0">
            <x v="34"/>
          </reference>
        </references>
      </pivotArea>
    </chartFormat>
    <chartFormat chart="2" format="443">
      <pivotArea type="data" outline="0" fieldPosition="0">
        <references count="3">
          <reference field="4294967294" count="1" selected="0">
            <x v="2"/>
          </reference>
          <reference field="1" count="1" selected="0">
            <x v="18"/>
          </reference>
          <reference field="7" count="1" selected="0">
            <x v="39"/>
          </reference>
        </references>
      </pivotArea>
    </chartFormat>
    <chartFormat chart="2" format="444">
      <pivotArea type="data" outline="0" fieldPosition="0">
        <references count="3">
          <reference field="4294967294" count="1" selected="0">
            <x v="2"/>
          </reference>
          <reference field="1" count="1" selected="0">
            <x v="18"/>
          </reference>
          <reference field="7" count="1" selected="0">
            <x v="46"/>
          </reference>
        </references>
      </pivotArea>
    </chartFormat>
    <chartFormat chart="2" format="445">
      <pivotArea type="data" outline="0" fieldPosition="0">
        <references count="3">
          <reference field="4294967294" count="1" selected="0">
            <x v="2"/>
          </reference>
          <reference field="1" count="1" selected="0">
            <x v="18"/>
          </reference>
          <reference field="7" count="1" selected="0">
            <x v="63"/>
          </reference>
        </references>
      </pivotArea>
    </chartFormat>
    <chartFormat chart="2" format="446">
      <pivotArea type="data" outline="0" fieldPosition="0">
        <references count="3">
          <reference field="4294967294" count="1" selected="0">
            <x v="2"/>
          </reference>
          <reference field="1" count="1" selected="0">
            <x v="18"/>
          </reference>
          <reference field="7" count="1" selected="0">
            <x v="95"/>
          </reference>
        </references>
      </pivotArea>
    </chartFormat>
    <chartFormat chart="2" format="447">
      <pivotArea type="data" outline="0" fieldPosition="0">
        <references count="3">
          <reference field="4294967294" count="1" selected="0">
            <x v="2"/>
          </reference>
          <reference field="1" count="1" selected="0">
            <x v="19"/>
          </reference>
          <reference field="7" count="1" selected="0">
            <x v="67"/>
          </reference>
        </references>
      </pivotArea>
    </chartFormat>
    <chartFormat chart="2" format="448">
      <pivotArea type="data" outline="0" fieldPosition="0">
        <references count="3">
          <reference field="4294967294" count="1" selected="0">
            <x v="2"/>
          </reference>
          <reference field="1" count="1" selected="0">
            <x v="19"/>
          </reference>
          <reference field="7" count="1" selected="0">
            <x v="68"/>
          </reference>
        </references>
      </pivotArea>
    </chartFormat>
    <chartFormat chart="2" format="449">
      <pivotArea type="data" outline="0" fieldPosition="0">
        <references count="3">
          <reference field="4294967294" count="1" selected="0">
            <x v="2"/>
          </reference>
          <reference field="1" count="1" selected="0">
            <x v="19"/>
          </reference>
          <reference field="7" count="1" selected="0">
            <x v="74"/>
          </reference>
        </references>
      </pivotArea>
    </chartFormat>
    <chartFormat chart="2" format="450">
      <pivotArea type="data" outline="0" fieldPosition="0">
        <references count="3">
          <reference field="4294967294" count="1" selected="0">
            <x v="2"/>
          </reference>
          <reference field="1" count="1" selected="0">
            <x v="19"/>
          </reference>
          <reference field="7" count="1" selected="0">
            <x v="113"/>
          </reference>
        </references>
      </pivotArea>
    </chartFormat>
    <chartFormat chart="2" format="451">
      <pivotArea type="data" outline="0" fieldPosition="0">
        <references count="3">
          <reference field="4294967294" count="1" selected="0">
            <x v="2"/>
          </reference>
          <reference field="1" count="1" selected="0">
            <x v="19"/>
          </reference>
          <reference field="7" count="1" selected="0">
            <x v="115"/>
          </reference>
        </references>
      </pivotArea>
    </chartFormat>
    <chartFormat chart="2" format="452">
      <pivotArea type="data" outline="0" fieldPosition="0">
        <references count="3">
          <reference field="4294967294" count="1" selected="0">
            <x v="2"/>
          </reference>
          <reference field="1" count="1" selected="0">
            <x v="19"/>
          </reference>
          <reference field="7" count="1" selected="0">
            <x v="137"/>
          </reference>
        </references>
      </pivotArea>
    </chartFormat>
    <chartFormat chart="2" format="453">
      <pivotArea type="data" outline="0" fieldPosition="0">
        <references count="3">
          <reference field="4294967294" count="1" selected="0">
            <x v="2"/>
          </reference>
          <reference field="1" count="1" selected="0">
            <x v="20"/>
          </reference>
          <reference field="7" count="1" selected="0">
            <x v="1"/>
          </reference>
        </references>
      </pivotArea>
    </chartFormat>
    <chartFormat chart="2" format="454">
      <pivotArea type="data" outline="0" fieldPosition="0">
        <references count="3">
          <reference field="4294967294" count="1" selected="0">
            <x v="2"/>
          </reference>
          <reference field="1" count="1" selected="0">
            <x v="20"/>
          </reference>
          <reference field="7" count="1" selected="0">
            <x v="9"/>
          </reference>
        </references>
      </pivotArea>
    </chartFormat>
    <chartFormat chart="2" format="455">
      <pivotArea type="data" outline="0" fieldPosition="0">
        <references count="3">
          <reference field="4294967294" count="1" selected="0">
            <x v="2"/>
          </reference>
          <reference field="1" count="1" selected="0">
            <x v="20"/>
          </reference>
          <reference field="7" count="1" selected="0">
            <x v="13"/>
          </reference>
        </references>
      </pivotArea>
    </chartFormat>
    <chartFormat chart="2" format="456">
      <pivotArea type="data" outline="0" fieldPosition="0">
        <references count="3">
          <reference field="4294967294" count="1" selected="0">
            <x v="2"/>
          </reference>
          <reference field="1" count="1" selected="0">
            <x v="20"/>
          </reference>
          <reference field="7" count="1" selected="0">
            <x v="26"/>
          </reference>
        </references>
      </pivotArea>
    </chartFormat>
    <chartFormat chart="2" format="457">
      <pivotArea type="data" outline="0" fieldPosition="0">
        <references count="3">
          <reference field="4294967294" count="1" selected="0">
            <x v="2"/>
          </reference>
          <reference field="1" count="1" selected="0">
            <x v="20"/>
          </reference>
          <reference field="7" count="1" selected="0">
            <x v="92"/>
          </reference>
        </references>
      </pivotArea>
    </chartFormat>
    <chartFormat chart="2" format="458">
      <pivotArea type="data" outline="0" fieldPosition="0">
        <references count="3">
          <reference field="4294967294" count="1" selected="0">
            <x v="2"/>
          </reference>
          <reference field="1" count="1" selected="0">
            <x v="20"/>
          </reference>
          <reference field="7" count="1" selected="0">
            <x v="119"/>
          </reference>
        </references>
      </pivotArea>
    </chartFormat>
    <chartFormat chart="2" format="459">
      <pivotArea type="data" outline="0" fieldPosition="0">
        <references count="3">
          <reference field="4294967294" count="1" selected="0">
            <x v="2"/>
          </reference>
          <reference field="1" count="1" selected="0">
            <x v="20"/>
          </reference>
          <reference field="7" count="1" selected="0">
            <x v="141"/>
          </reference>
        </references>
      </pivotArea>
    </chartFormat>
    <chartFormat chart="2" format="460">
      <pivotArea type="data" outline="0" fieldPosition="0">
        <references count="3">
          <reference field="4294967294" count="1" selected="0">
            <x v="2"/>
          </reference>
          <reference field="1" count="1" selected="0">
            <x v="21"/>
          </reference>
          <reference field="7" count="1" selected="0">
            <x v="25"/>
          </reference>
        </references>
      </pivotArea>
    </chartFormat>
    <chartFormat chart="2" format="461">
      <pivotArea type="data" outline="0" fieldPosition="0">
        <references count="3">
          <reference field="4294967294" count="1" selected="0">
            <x v="2"/>
          </reference>
          <reference field="1" count="1" selected="0">
            <x v="21"/>
          </reference>
          <reference field="7" count="1" selected="0">
            <x v="52"/>
          </reference>
        </references>
      </pivotArea>
    </chartFormat>
    <chartFormat chart="2" format="462">
      <pivotArea type="data" outline="0" fieldPosition="0">
        <references count="3">
          <reference field="4294967294" count="1" selected="0">
            <x v="2"/>
          </reference>
          <reference field="1" count="1" selected="0">
            <x v="21"/>
          </reference>
          <reference field="7" count="1" selected="0">
            <x v="55"/>
          </reference>
        </references>
      </pivotArea>
    </chartFormat>
    <chartFormat chart="2" format="463">
      <pivotArea type="data" outline="0" fieldPosition="0">
        <references count="3">
          <reference field="4294967294" count="1" selected="0">
            <x v="2"/>
          </reference>
          <reference field="1" count="1" selected="0">
            <x v="21"/>
          </reference>
          <reference field="7" count="1" selected="0">
            <x v="64"/>
          </reference>
        </references>
      </pivotArea>
    </chartFormat>
    <chartFormat chart="2" format="464">
      <pivotArea type="data" outline="0" fieldPosition="0">
        <references count="3">
          <reference field="4294967294" count="1" selected="0">
            <x v="2"/>
          </reference>
          <reference field="1" count="1" selected="0">
            <x v="21"/>
          </reference>
          <reference field="7" count="1" selected="0">
            <x v="82"/>
          </reference>
        </references>
      </pivotArea>
    </chartFormat>
    <chartFormat chart="2" format="465">
      <pivotArea type="data" outline="0" fieldPosition="0">
        <references count="3">
          <reference field="4294967294" count="1" selected="0">
            <x v="2"/>
          </reference>
          <reference field="1" count="1" selected="0">
            <x v="21"/>
          </reference>
          <reference field="7" count="1" selected="0">
            <x v="99"/>
          </reference>
        </references>
      </pivotArea>
    </chartFormat>
    <chartFormat chart="2" format="466">
      <pivotArea type="data" outline="0" fieldPosition="0">
        <references count="3">
          <reference field="4294967294" count="1" selected="0">
            <x v="2"/>
          </reference>
          <reference field="1" count="1" selected="0">
            <x v="21"/>
          </reference>
          <reference field="7" count="1" selected="0">
            <x v="112"/>
          </reference>
        </references>
      </pivotArea>
    </chartFormat>
    <chartFormat chart="2" format="467">
      <pivotArea type="data" outline="0" fieldPosition="0">
        <references count="3">
          <reference field="4294967294" count="1" selected="0">
            <x v="2"/>
          </reference>
          <reference field="1" count="1" selected="0">
            <x v="21"/>
          </reference>
          <reference field="7" count="1" selected="0">
            <x v="121"/>
          </reference>
        </references>
      </pivotArea>
    </chartFormat>
    <chartFormat chart="2" format="468">
      <pivotArea type="data" outline="0" fieldPosition="0">
        <references count="3">
          <reference field="4294967294" count="1" selected="0">
            <x v="2"/>
          </reference>
          <reference field="1" count="1" selected="0">
            <x v="21"/>
          </reference>
          <reference field="7" count="1" selected="0">
            <x v="124"/>
          </reference>
        </references>
      </pivotArea>
    </chartFormat>
    <chartFormat chart="2" format="469" series="1">
      <pivotArea type="data" outline="0" fieldPosition="0">
        <references count="1">
          <reference field="4294967294" count="1" selected="0">
            <x v="3"/>
          </reference>
        </references>
      </pivotArea>
    </chartFormat>
    <chartFormat chart="2" format="470">
      <pivotArea type="data" outline="0" fieldPosition="0">
        <references count="3">
          <reference field="4294967294" count="1" selected="0">
            <x v="3"/>
          </reference>
          <reference field="1" count="1" selected="0">
            <x v="0"/>
          </reference>
          <reference field="7" count="1" selected="0">
            <x v="11"/>
          </reference>
        </references>
      </pivotArea>
    </chartFormat>
    <chartFormat chart="2" format="471">
      <pivotArea type="data" outline="0" fieldPosition="0">
        <references count="3">
          <reference field="4294967294" count="1" selected="0">
            <x v="3"/>
          </reference>
          <reference field="1" count="1" selected="0">
            <x v="0"/>
          </reference>
          <reference field="7" count="1" selected="0">
            <x v="56"/>
          </reference>
        </references>
      </pivotArea>
    </chartFormat>
    <chartFormat chart="2" format="472">
      <pivotArea type="data" outline="0" fieldPosition="0">
        <references count="3">
          <reference field="4294967294" count="1" selected="0">
            <x v="3"/>
          </reference>
          <reference field="1" count="1" selected="0">
            <x v="0"/>
          </reference>
          <reference field="7" count="1" selected="0">
            <x v="116"/>
          </reference>
        </references>
      </pivotArea>
    </chartFormat>
    <chartFormat chart="2" format="473">
      <pivotArea type="data" outline="0" fieldPosition="0">
        <references count="3">
          <reference field="4294967294" count="1" selected="0">
            <x v="3"/>
          </reference>
          <reference field="1" count="1" selected="0">
            <x v="1"/>
          </reference>
          <reference field="7" count="1" selected="0">
            <x v="38"/>
          </reference>
        </references>
      </pivotArea>
    </chartFormat>
    <chartFormat chart="2" format="474">
      <pivotArea type="data" outline="0" fieldPosition="0">
        <references count="3">
          <reference field="4294967294" count="1" selected="0">
            <x v="3"/>
          </reference>
          <reference field="1" count="1" selected="0">
            <x v="1"/>
          </reference>
          <reference field="7" count="1" selected="0">
            <x v="59"/>
          </reference>
        </references>
      </pivotArea>
    </chartFormat>
    <chartFormat chart="2" format="475">
      <pivotArea type="data" outline="0" fieldPosition="0">
        <references count="3">
          <reference field="4294967294" count="1" selected="0">
            <x v="3"/>
          </reference>
          <reference field="1" count="1" selected="0">
            <x v="1"/>
          </reference>
          <reference field="7" count="1" selected="0">
            <x v="94"/>
          </reference>
        </references>
      </pivotArea>
    </chartFormat>
    <chartFormat chart="2" format="476">
      <pivotArea type="data" outline="0" fieldPosition="0">
        <references count="3">
          <reference field="4294967294" count="1" selected="0">
            <x v="3"/>
          </reference>
          <reference field="1" count="1" selected="0">
            <x v="2"/>
          </reference>
          <reference field="7" count="1" selected="0">
            <x v="10"/>
          </reference>
        </references>
      </pivotArea>
    </chartFormat>
    <chartFormat chart="2" format="477">
      <pivotArea type="data" outline="0" fieldPosition="0">
        <references count="3">
          <reference field="4294967294" count="1" selected="0">
            <x v="3"/>
          </reference>
          <reference field="1" count="1" selected="0">
            <x v="2"/>
          </reference>
          <reference field="7" count="1" selected="0">
            <x v="14"/>
          </reference>
        </references>
      </pivotArea>
    </chartFormat>
    <chartFormat chart="2" format="478">
      <pivotArea type="data" outline="0" fieldPosition="0">
        <references count="3">
          <reference field="4294967294" count="1" selected="0">
            <x v="3"/>
          </reference>
          <reference field="1" count="1" selected="0">
            <x v="2"/>
          </reference>
          <reference field="7" count="1" selected="0">
            <x v="21"/>
          </reference>
        </references>
      </pivotArea>
    </chartFormat>
    <chartFormat chart="2" format="479">
      <pivotArea type="data" outline="0" fieldPosition="0">
        <references count="3">
          <reference field="4294967294" count="1" selected="0">
            <x v="3"/>
          </reference>
          <reference field="1" count="1" selected="0">
            <x v="2"/>
          </reference>
          <reference field="7" count="1" selected="0">
            <x v="48"/>
          </reference>
        </references>
      </pivotArea>
    </chartFormat>
    <chartFormat chart="2" format="480">
      <pivotArea type="data" outline="0" fieldPosition="0">
        <references count="3">
          <reference field="4294967294" count="1" selected="0">
            <x v="3"/>
          </reference>
          <reference field="1" count="1" selected="0">
            <x v="2"/>
          </reference>
          <reference field="7" count="1" selected="0">
            <x v="52"/>
          </reference>
        </references>
      </pivotArea>
    </chartFormat>
    <chartFormat chart="2" format="481">
      <pivotArea type="data" outline="0" fieldPosition="0">
        <references count="3">
          <reference field="4294967294" count="1" selected="0">
            <x v="3"/>
          </reference>
          <reference field="1" count="1" selected="0">
            <x v="2"/>
          </reference>
          <reference field="7" count="1" selected="0">
            <x v="71"/>
          </reference>
        </references>
      </pivotArea>
    </chartFormat>
    <chartFormat chart="2" format="482">
      <pivotArea type="data" outline="0" fieldPosition="0">
        <references count="3">
          <reference field="4294967294" count="1" selected="0">
            <x v="3"/>
          </reference>
          <reference field="1" count="1" selected="0">
            <x v="2"/>
          </reference>
          <reference field="7" count="1" selected="0">
            <x v="110"/>
          </reference>
        </references>
      </pivotArea>
    </chartFormat>
    <chartFormat chart="2" format="483">
      <pivotArea type="data" outline="0" fieldPosition="0">
        <references count="3">
          <reference field="4294967294" count="1" selected="0">
            <x v="3"/>
          </reference>
          <reference field="1" count="1" selected="0">
            <x v="2"/>
          </reference>
          <reference field="7" count="1" selected="0">
            <x v="117"/>
          </reference>
        </references>
      </pivotArea>
    </chartFormat>
    <chartFormat chart="2" format="484">
      <pivotArea type="data" outline="0" fieldPosition="0">
        <references count="3">
          <reference field="4294967294" count="1" selected="0">
            <x v="3"/>
          </reference>
          <reference field="1" count="1" selected="0">
            <x v="2"/>
          </reference>
          <reference field="7" count="1" selected="0">
            <x v="122"/>
          </reference>
        </references>
      </pivotArea>
    </chartFormat>
    <chartFormat chart="2" format="485">
      <pivotArea type="data" outline="0" fieldPosition="0">
        <references count="3">
          <reference field="4294967294" count="1" selected="0">
            <x v="3"/>
          </reference>
          <reference field="1" count="1" selected="0">
            <x v="3"/>
          </reference>
          <reference field="7" count="1" selected="0">
            <x v="23"/>
          </reference>
        </references>
      </pivotArea>
    </chartFormat>
    <chartFormat chart="2" format="486">
      <pivotArea type="data" outline="0" fieldPosition="0">
        <references count="3">
          <reference field="4294967294" count="1" selected="0">
            <x v="3"/>
          </reference>
          <reference field="1" count="1" selected="0">
            <x v="3"/>
          </reference>
          <reference field="7" count="1" selected="0">
            <x v="47"/>
          </reference>
        </references>
      </pivotArea>
    </chartFormat>
    <chartFormat chart="2" format="487">
      <pivotArea type="data" outline="0" fieldPosition="0">
        <references count="3">
          <reference field="4294967294" count="1" selected="0">
            <x v="3"/>
          </reference>
          <reference field="1" count="1" selected="0">
            <x v="3"/>
          </reference>
          <reference field="7" count="1" selected="0">
            <x v="60"/>
          </reference>
        </references>
      </pivotArea>
    </chartFormat>
    <chartFormat chart="2" format="488">
      <pivotArea type="data" outline="0" fieldPosition="0">
        <references count="3">
          <reference field="4294967294" count="1" selected="0">
            <x v="3"/>
          </reference>
          <reference field="1" count="1" selected="0">
            <x v="3"/>
          </reference>
          <reference field="7" count="1" selected="0">
            <x v="62"/>
          </reference>
        </references>
      </pivotArea>
    </chartFormat>
    <chartFormat chart="2" format="489">
      <pivotArea type="data" outline="0" fieldPosition="0">
        <references count="3">
          <reference field="4294967294" count="1" selected="0">
            <x v="3"/>
          </reference>
          <reference field="1" count="1" selected="0">
            <x v="3"/>
          </reference>
          <reference field="7" count="1" selected="0">
            <x v="85"/>
          </reference>
        </references>
      </pivotArea>
    </chartFormat>
    <chartFormat chart="2" format="490">
      <pivotArea type="data" outline="0" fieldPosition="0">
        <references count="3">
          <reference field="4294967294" count="1" selected="0">
            <x v="3"/>
          </reference>
          <reference field="1" count="1" selected="0">
            <x v="4"/>
          </reference>
          <reference field="7" count="1" selected="0">
            <x v="29"/>
          </reference>
        </references>
      </pivotArea>
    </chartFormat>
    <chartFormat chart="2" format="491">
      <pivotArea type="data" outline="0" fieldPosition="0">
        <references count="3">
          <reference field="4294967294" count="1" selected="0">
            <x v="3"/>
          </reference>
          <reference field="1" count="1" selected="0">
            <x v="4"/>
          </reference>
          <reference field="7" count="1" selected="0">
            <x v="91"/>
          </reference>
        </references>
      </pivotArea>
    </chartFormat>
    <chartFormat chart="2" format="492">
      <pivotArea type="data" outline="0" fieldPosition="0">
        <references count="3">
          <reference field="4294967294" count="1" selected="0">
            <x v="3"/>
          </reference>
          <reference field="1" count="1" selected="0">
            <x v="4"/>
          </reference>
          <reference field="7" count="1" selected="0">
            <x v="103"/>
          </reference>
        </references>
      </pivotArea>
    </chartFormat>
    <chartFormat chart="2" format="493">
      <pivotArea type="data" outline="0" fieldPosition="0">
        <references count="3">
          <reference field="4294967294" count="1" selected="0">
            <x v="3"/>
          </reference>
          <reference field="1" count="1" selected="0">
            <x v="4"/>
          </reference>
          <reference field="7" count="1" selected="0">
            <x v="118"/>
          </reference>
        </references>
      </pivotArea>
    </chartFormat>
    <chartFormat chart="2" format="494">
      <pivotArea type="data" outline="0" fieldPosition="0">
        <references count="3">
          <reference field="4294967294" count="1" selected="0">
            <x v="3"/>
          </reference>
          <reference field="1" count="1" selected="0">
            <x v="5"/>
          </reference>
          <reference field="7" count="1" selected="0">
            <x v="46"/>
          </reference>
        </references>
      </pivotArea>
    </chartFormat>
    <chartFormat chart="2" format="495">
      <pivotArea type="data" outline="0" fieldPosition="0">
        <references count="3">
          <reference field="4294967294" count="1" selected="0">
            <x v="3"/>
          </reference>
          <reference field="1" count="1" selected="0">
            <x v="5"/>
          </reference>
          <reference field="7" count="1" selected="0">
            <x v="69"/>
          </reference>
        </references>
      </pivotArea>
    </chartFormat>
    <chartFormat chart="2" format="496">
      <pivotArea type="data" outline="0" fieldPosition="0">
        <references count="3">
          <reference field="4294967294" count="1" selected="0">
            <x v="3"/>
          </reference>
          <reference field="1" count="1" selected="0">
            <x v="5"/>
          </reference>
          <reference field="7" count="1" selected="0">
            <x v="73"/>
          </reference>
        </references>
      </pivotArea>
    </chartFormat>
    <chartFormat chart="2" format="497">
      <pivotArea type="data" outline="0" fieldPosition="0">
        <references count="3">
          <reference field="4294967294" count="1" selected="0">
            <x v="3"/>
          </reference>
          <reference field="1" count="1" selected="0">
            <x v="5"/>
          </reference>
          <reference field="7" count="1" selected="0">
            <x v="81"/>
          </reference>
        </references>
      </pivotArea>
    </chartFormat>
    <chartFormat chart="2" format="498">
      <pivotArea type="data" outline="0" fieldPosition="0">
        <references count="3">
          <reference field="4294967294" count="1" selected="0">
            <x v="3"/>
          </reference>
          <reference field="1" count="1" selected="0">
            <x v="5"/>
          </reference>
          <reference field="7" count="1" selected="0">
            <x v="98"/>
          </reference>
        </references>
      </pivotArea>
    </chartFormat>
    <chartFormat chart="2" format="499">
      <pivotArea type="data" outline="0" fieldPosition="0">
        <references count="3">
          <reference field="4294967294" count="1" selected="0">
            <x v="3"/>
          </reference>
          <reference field="1" count="1" selected="0">
            <x v="5"/>
          </reference>
          <reference field="7" count="1" selected="0">
            <x v="107"/>
          </reference>
        </references>
      </pivotArea>
    </chartFormat>
    <chartFormat chart="2" format="500">
      <pivotArea type="data" outline="0" fieldPosition="0">
        <references count="3">
          <reference field="4294967294" count="1" selected="0">
            <x v="3"/>
          </reference>
          <reference field="1" count="1" selected="0">
            <x v="6"/>
          </reference>
          <reference field="7" count="1" selected="0">
            <x v="19"/>
          </reference>
        </references>
      </pivotArea>
    </chartFormat>
    <chartFormat chart="2" format="501">
      <pivotArea type="data" outline="0" fieldPosition="0">
        <references count="3">
          <reference field="4294967294" count="1" selected="0">
            <x v="3"/>
          </reference>
          <reference field="1" count="1" selected="0">
            <x v="6"/>
          </reference>
          <reference field="7" count="1" selected="0">
            <x v="44"/>
          </reference>
        </references>
      </pivotArea>
    </chartFormat>
    <chartFormat chart="2" format="502">
      <pivotArea type="data" outline="0" fieldPosition="0">
        <references count="3">
          <reference field="4294967294" count="1" selected="0">
            <x v="3"/>
          </reference>
          <reference field="1" count="1" selected="0">
            <x v="6"/>
          </reference>
          <reference field="7" count="1" selected="0">
            <x v="126"/>
          </reference>
        </references>
      </pivotArea>
    </chartFormat>
    <chartFormat chart="2" format="503">
      <pivotArea type="data" outline="0" fieldPosition="0">
        <references count="3">
          <reference field="4294967294" count="1" selected="0">
            <x v="3"/>
          </reference>
          <reference field="1" count="1" selected="0">
            <x v="7"/>
          </reference>
          <reference field="7" count="1" selected="0">
            <x v="37"/>
          </reference>
        </references>
      </pivotArea>
    </chartFormat>
    <chartFormat chart="2" format="504">
      <pivotArea type="data" outline="0" fieldPosition="0">
        <references count="3">
          <reference field="4294967294" count="1" selected="0">
            <x v="3"/>
          </reference>
          <reference field="1" count="1" selected="0">
            <x v="7"/>
          </reference>
          <reference field="7" count="1" selected="0">
            <x v="88"/>
          </reference>
        </references>
      </pivotArea>
    </chartFormat>
    <chartFormat chart="2" format="505">
      <pivotArea type="data" outline="0" fieldPosition="0">
        <references count="3">
          <reference field="4294967294" count="1" selected="0">
            <x v="3"/>
          </reference>
          <reference field="1" count="1" selected="0">
            <x v="7"/>
          </reference>
          <reference field="7" count="1" selected="0">
            <x v="89"/>
          </reference>
        </references>
      </pivotArea>
    </chartFormat>
    <chartFormat chart="2" format="506">
      <pivotArea type="data" outline="0" fieldPosition="0">
        <references count="3">
          <reference field="4294967294" count="1" selected="0">
            <x v="3"/>
          </reference>
          <reference field="1" count="1" selected="0">
            <x v="7"/>
          </reference>
          <reference field="7" count="1" selected="0">
            <x v="125"/>
          </reference>
        </references>
      </pivotArea>
    </chartFormat>
    <chartFormat chart="2" format="507">
      <pivotArea type="data" outline="0" fieldPosition="0">
        <references count="3">
          <reference field="4294967294" count="1" selected="0">
            <x v="3"/>
          </reference>
          <reference field="1" count="1" selected="0">
            <x v="7"/>
          </reference>
          <reference field="7" count="1" selected="0">
            <x v="133"/>
          </reference>
        </references>
      </pivotArea>
    </chartFormat>
    <chartFormat chart="2" format="508">
      <pivotArea type="data" outline="0" fieldPosition="0">
        <references count="3">
          <reference field="4294967294" count="1" selected="0">
            <x v="3"/>
          </reference>
          <reference field="1" count="1" selected="0">
            <x v="7"/>
          </reference>
          <reference field="7" count="1" selected="0">
            <x v="135"/>
          </reference>
        </references>
      </pivotArea>
    </chartFormat>
    <chartFormat chart="2" format="509">
      <pivotArea type="data" outline="0" fieldPosition="0">
        <references count="3">
          <reference field="4294967294" count="1" selected="0">
            <x v="3"/>
          </reference>
          <reference field="1" count="1" selected="0">
            <x v="8"/>
          </reference>
          <reference field="7" count="1" selected="0">
            <x v="67"/>
          </reference>
        </references>
      </pivotArea>
    </chartFormat>
    <chartFormat chart="2" format="510">
      <pivotArea type="data" outline="0" fieldPosition="0">
        <references count="3">
          <reference field="4294967294" count="1" selected="0">
            <x v="3"/>
          </reference>
          <reference field="1" count="1" selected="0">
            <x v="8"/>
          </reference>
          <reference field="7" count="1" selected="0">
            <x v="75"/>
          </reference>
        </references>
      </pivotArea>
    </chartFormat>
    <chartFormat chart="2" format="511">
      <pivotArea type="data" outline="0" fieldPosition="0">
        <references count="3">
          <reference field="4294967294" count="1" selected="0">
            <x v="3"/>
          </reference>
          <reference field="1" count="1" selected="0">
            <x v="8"/>
          </reference>
          <reference field="7" count="1" selected="0">
            <x v="79"/>
          </reference>
        </references>
      </pivotArea>
    </chartFormat>
    <chartFormat chart="2" format="512">
      <pivotArea type="data" outline="0" fieldPosition="0">
        <references count="3">
          <reference field="4294967294" count="1" selected="0">
            <x v="3"/>
          </reference>
          <reference field="1" count="1" selected="0">
            <x v="8"/>
          </reference>
          <reference field="7" count="1" selected="0">
            <x v="97"/>
          </reference>
        </references>
      </pivotArea>
    </chartFormat>
    <chartFormat chart="2" format="513">
      <pivotArea type="data" outline="0" fieldPosition="0">
        <references count="3">
          <reference field="4294967294" count="1" selected="0">
            <x v="3"/>
          </reference>
          <reference field="1" count="1" selected="0">
            <x v="9"/>
          </reference>
          <reference field="7" count="1" selected="0">
            <x v="140"/>
          </reference>
        </references>
      </pivotArea>
    </chartFormat>
    <chartFormat chart="2" format="514">
      <pivotArea type="data" outline="0" fieldPosition="0">
        <references count="3">
          <reference field="4294967294" count="1" selected="0">
            <x v="3"/>
          </reference>
          <reference field="1" count="1" selected="0">
            <x v="10"/>
          </reference>
          <reference field="7" count="1" selected="0">
            <x v="5"/>
          </reference>
        </references>
      </pivotArea>
    </chartFormat>
    <chartFormat chart="2" format="515">
      <pivotArea type="data" outline="0" fieldPosition="0">
        <references count="3">
          <reference field="4294967294" count="1" selected="0">
            <x v="3"/>
          </reference>
          <reference field="1" count="1" selected="0">
            <x v="10"/>
          </reference>
          <reference field="7" count="1" selected="0">
            <x v="31"/>
          </reference>
        </references>
      </pivotArea>
    </chartFormat>
    <chartFormat chart="2" format="516">
      <pivotArea type="data" outline="0" fieldPosition="0">
        <references count="3">
          <reference field="4294967294" count="1" selected="0">
            <x v="3"/>
          </reference>
          <reference field="1" count="1" selected="0">
            <x v="10"/>
          </reference>
          <reference field="7" count="1" selected="0">
            <x v="32"/>
          </reference>
        </references>
      </pivotArea>
    </chartFormat>
    <chartFormat chart="2" format="517">
      <pivotArea type="data" outline="0" fieldPosition="0">
        <references count="3">
          <reference field="4294967294" count="1" selected="0">
            <x v="3"/>
          </reference>
          <reference field="1" count="1" selected="0">
            <x v="10"/>
          </reference>
          <reference field="7" count="1" selected="0">
            <x v="51"/>
          </reference>
        </references>
      </pivotArea>
    </chartFormat>
    <chartFormat chart="2" format="518">
      <pivotArea type="data" outline="0" fieldPosition="0">
        <references count="3">
          <reference field="4294967294" count="1" selected="0">
            <x v="3"/>
          </reference>
          <reference field="1" count="1" selected="0">
            <x v="11"/>
          </reference>
          <reference field="7" count="1" selected="0">
            <x v="30"/>
          </reference>
        </references>
      </pivotArea>
    </chartFormat>
    <chartFormat chart="2" format="519">
      <pivotArea type="data" outline="0" fieldPosition="0">
        <references count="3">
          <reference field="4294967294" count="1" selected="0">
            <x v="3"/>
          </reference>
          <reference field="1" count="1" selected="0">
            <x v="11"/>
          </reference>
          <reference field="7" count="1" selected="0">
            <x v="32"/>
          </reference>
        </references>
      </pivotArea>
    </chartFormat>
    <chartFormat chart="2" format="520">
      <pivotArea type="data" outline="0" fieldPosition="0">
        <references count="3">
          <reference field="4294967294" count="1" selected="0">
            <x v="3"/>
          </reference>
          <reference field="1" count="1" selected="0">
            <x v="11"/>
          </reference>
          <reference field="7" count="1" selected="0">
            <x v="45"/>
          </reference>
        </references>
      </pivotArea>
    </chartFormat>
    <chartFormat chart="2" format="521">
      <pivotArea type="data" outline="0" fieldPosition="0">
        <references count="3">
          <reference field="4294967294" count="1" selected="0">
            <x v="3"/>
          </reference>
          <reference field="1" count="1" selected="0">
            <x v="11"/>
          </reference>
          <reference field="7" count="1" selected="0">
            <x v="78"/>
          </reference>
        </references>
      </pivotArea>
    </chartFormat>
    <chartFormat chart="2" format="522">
      <pivotArea type="data" outline="0" fieldPosition="0">
        <references count="3">
          <reference field="4294967294" count="1" selected="0">
            <x v="3"/>
          </reference>
          <reference field="1" count="1" selected="0">
            <x v="11"/>
          </reference>
          <reference field="7" count="1" selected="0">
            <x v="108"/>
          </reference>
        </references>
      </pivotArea>
    </chartFormat>
    <chartFormat chart="2" format="523">
      <pivotArea type="data" outline="0" fieldPosition="0">
        <references count="3">
          <reference field="4294967294" count="1" selected="0">
            <x v="3"/>
          </reference>
          <reference field="1" count="1" selected="0">
            <x v="11"/>
          </reference>
          <reference field="7" count="1" selected="0">
            <x v="111"/>
          </reference>
        </references>
      </pivotArea>
    </chartFormat>
    <chartFormat chart="2" format="524">
      <pivotArea type="data" outline="0" fieldPosition="0">
        <references count="3">
          <reference field="4294967294" count="1" selected="0">
            <x v="3"/>
          </reference>
          <reference field="1" count="1" selected="0">
            <x v="12"/>
          </reference>
          <reference field="7" count="1" selected="0">
            <x v="18"/>
          </reference>
        </references>
      </pivotArea>
    </chartFormat>
    <chartFormat chart="2" format="525">
      <pivotArea type="data" outline="0" fieldPosition="0">
        <references count="3">
          <reference field="4294967294" count="1" selected="0">
            <x v="3"/>
          </reference>
          <reference field="1" count="1" selected="0">
            <x v="12"/>
          </reference>
          <reference field="7" count="1" selected="0">
            <x v="22"/>
          </reference>
        </references>
      </pivotArea>
    </chartFormat>
    <chartFormat chart="2" format="526">
      <pivotArea type="data" outline="0" fieldPosition="0">
        <references count="3">
          <reference field="4294967294" count="1" selected="0">
            <x v="3"/>
          </reference>
          <reference field="1" count="1" selected="0">
            <x v="12"/>
          </reference>
          <reference field="7" count="1" selected="0">
            <x v="26"/>
          </reference>
        </references>
      </pivotArea>
    </chartFormat>
    <chartFormat chart="2" format="527">
      <pivotArea type="data" outline="0" fieldPosition="0">
        <references count="3">
          <reference field="4294967294" count="1" selected="0">
            <x v="3"/>
          </reference>
          <reference field="1" count="1" selected="0">
            <x v="12"/>
          </reference>
          <reference field="7" count="1" selected="0">
            <x v="33"/>
          </reference>
        </references>
      </pivotArea>
    </chartFormat>
    <chartFormat chart="2" format="528">
      <pivotArea type="data" outline="0" fieldPosition="0">
        <references count="3">
          <reference field="4294967294" count="1" selected="0">
            <x v="3"/>
          </reference>
          <reference field="1" count="1" selected="0">
            <x v="12"/>
          </reference>
          <reference field="7" count="1" selected="0">
            <x v="72"/>
          </reference>
        </references>
      </pivotArea>
    </chartFormat>
    <chartFormat chart="2" format="529">
      <pivotArea type="data" outline="0" fieldPosition="0">
        <references count="3">
          <reference field="4294967294" count="1" selected="0">
            <x v="3"/>
          </reference>
          <reference field="1" count="1" selected="0">
            <x v="12"/>
          </reference>
          <reference field="7" count="1" selected="0">
            <x v="78"/>
          </reference>
        </references>
      </pivotArea>
    </chartFormat>
    <chartFormat chart="2" format="530">
      <pivotArea type="data" outline="0" fieldPosition="0">
        <references count="3">
          <reference field="4294967294" count="1" selected="0">
            <x v="3"/>
          </reference>
          <reference field="1" count="1" selected="0">
            <x v="12"/>
          </reference>
          <reference field="7" count="1" selected="0">
            <x v="102"/>
          </reference>
        </references>
      </pivotArea>
    </chartFormat>
    <chartFormat chart="2" format="531">
      <pivotArea type="data" outline="0" fieldPosition="0">
        <references count="3">
          <reference field="4294967294" count="1" selected="0">
            <x v="3"/>
          </reference>
          <reference field="1" count="1" selected="0">
            <x v="12"/>
          </reference>
          <reference field="7" count="1" selected="0">
            <x v="118"/>
          </reference>
        </references>
      </pivotArea>
    </chartFormat>
    <chartFormat chart="2" format="532">
      <pivotArea type="data" outline="0" fieldPosition="0">
        <references count="3">
          <reference field="4294967294" count="1" selected="0">
            <x v="3"/>
          </reference>
          <reference field="1" count="1" selected="0">
            <x v="12"/>
          </reference>
          <reference field="7" count="1" selected="0">
            <x v="123"/>
          </reference>
        </references>
      </pivotArea>
    </chartFormat>
    <chartFormat chart="2" format="533">
      <pivotArea type="data" outline="0" fieldPosition="0">
        <references count="3">
          <reference field="4294967294" count="1" selected="0">
            <x v="3"/>
          </reference>
          <reference field="1" count="1" selected="0">
            <x v="12"/>
          </reference>
          <reference field="7" count="1" selected="0">
            <x v="140"/>
          </reference>
        </references>
      </pivotArea>
    </chartFormat>
    <chartFormat chart="2" format="534">
      <pivotArea type="data" outline="0" fieldPosition="0">
        <references count="3">
          <reference field="4294967294" count="1" selected="0">
            <x v="3"/>
          </reference>
          <reference field="1" count="1" selected="0">
            <x v="13"/>
          </reference>
          <reference field="7" count="1" selected="0">
            <x v="9"/>
          </reference>
        </references>
      </pivotArea>
    </chartFormat>
    <chartFormat chart="2" format="535">
      <pivotArea type="data" outline="0" fieldPosition="0">
        <references count="3">
          <reference field="4294967294" count="1" selected="0">
            <x v="3"/>
          </reference>
          <reference field="1" count="1" selected="0">
            <x v="13"/>
          </reference>
          <reference field="7" count="1" selected="0">
            <x v="43"/>
          </reference>
        </references>
      </pivotArea>
    </chartFormat>
    <chartFormat chart="2" format="536">
      <pivotArea type="data" outline="0" fieldPosition="0">
        <references count="3">
          <reference field="4294967294" count="1" selected="0">
            <x v="3"/>
          </reference>
          <reference field="1" count="1" selected="0">
            <x v="13"/>
          </reference>
          <reference field="7" count="1" selected="0">
            <x v="57"/>
          </reference>
        </references>
      </pivotArea>
    </chartFormat>
    <chartFormat chart="2" format="537">
      <pivotArea type="data" outline="0" fieldPosition="0">
        <references count="3">
          <reference field="4294967294" count="1" selected="0">
            <x v="3"/>
          </reference>
          <reference field="1" count="1" selected="0">
            <x v="13"/>
          </reference>
          <reference field="7" count="1" selected="0">
            <x v="70"/>
          </reference>
        </references>
      </pivotArea>
    </chartFormat>
    <chartFormat chart="2" format="538">
      <pivotArea type="data" outline="0" fieldPosition="0">
        <references count="3">
          <reference field="4294967294" count="1" selected="0">
            <x v="3"/>
          </reference>
          <reference field="1" count="1" selected="0">
            <x v="13"/>
          </reference>
          <reference field="7" count="1" selected="0">
            <x v="121"/>
          </reference>
        </references>
      </pivotArea>
    </chartFormat>
    <chartFormat chart="2" format="539">
      <pivotArea type="data" outline="0" fieldPosition="0">
        <references count="3">
          <reference field="4294967294" count="1" selected="0">
            <x v="3"/>
          </reference>
          <reference field="1" count="1" selected="0">
            <x v="13"/>
          </reference>
          <reference field="7" count="1" selected="0">
            <x v="136"/>
          </reference>
        </references>
      </pivotArea>
    </chartFormat>
    <chartFormat chart="2" format="540">
      <pivotArea type="data" outline="0" fieldPosition="0">
        <references count="3">
          <reference field="4294967294" count="1" selected="0">
            <x v="3"/>
          </reference>
          <reference field="1" count="1" selected="0">
            <x v="14"/>
          </reference>
          <reference field="7" count="1" selected="0">
            <x v="17"/>
          </reference>
        </references>
      </pivotArea>
    </chartFormat>
    <chartFormat chart="2" format="541">
      <pivotArea type="data" outline="0" fieldPosition="0">
        <references count="3">
          <reference field="4294967294" count="1" selected="0">
            <x v="3"/>
          </reference>
          <reference field="1" count="1" selected="0">
            <x v="14"/>
          </reference>
          <reference field="7" count="1" selected="0">
            <x v="42"/>
          </reference>
        </references>
      </pivotArea>
    </chartFormat>
    <chartFormat chart="2" format="542">
      <pivotArea type="data" outline="0" fieldPosition="0">
        <references count="3">
          <reference field="4294967294" count="1" selected="0">
            <x v="3"/>
          </reference>
          <reference field="1" count="1" selected="0">
            <x v="14"/>
          </reference>
          <reference field="7" count="1" selected="0">
            <x v="84"/>
          </reference>
        </references>
      </pivotArea>
    </chartFormat>
    <chartFormat chart="2" format="543">
      <pivotArea type="data" outline="0" fieldPosition="0">
        <references count="3">
          <reference field="4294967294" count="1" selected="0">
            <x v="3"/>
          </reference>
          <reference field="1" count="1" selected="0">
            <x v="14"/>
          </reference>
          <reference field="7" count="1" selected="0">
            <x v="105"/>
          </reference>
        </references>
      </pivotArea>
    </chartFormat>
    <chartFormat chart="2" format="544">
      <pivotArea type="data" outline="0" fieldPosition="0">
        <references count="3">
          <reference field="4294967294" count="1" selected="0">
            <x v="3"/>
          </reference>
          <reference field="1" count="1" selected="0">
            <x v="14"/>
          </reference>
          <reference field="7" count="1" selected="0">
            <x v="134"/>
          </reference>
        </references>
      </pivotArea>
    </chartFormat>
    <chartFormat chart="2" format="545">
      <pivotArea type="data" outline="0" fieldPosition="0">
        <references count="3">
          <reference field="4294967294" count="1" selected="0">
            <x v="3"/>
          </reference>
          <reference field="1" count="1" selected="0">
            <x v="15"/>
          </reference>
          <reference field="7" count="1" selected="0">
            <x v="31"/>
          </reference>
        </references>
      </pivotArea>
    </chartFormat>
    <chartFormat chart="2" format="546">
      <pivotArea type="data" outline="0" fieldPosition="0">
        <references count="3">
          <reference field="4294967294" count="1" selected="0">
            <x v="3"/>
          </reference>
          <reference field="1" count="1" selected="0">
            <x v="15"/>
          </reference>
          <reference field="7" count="1" selected="0">
            <x v="54"/>
          </reference>
        </references>
      </pivotArea>
    </chartFormat>
    <chartFormat chart="2" format="547">
      <pivotArea type="data" outline="0" fieldPosition="0">
        <references count="3">
          <reference field="4294967294" count="1" selected="0">
            <x v="3"/>
          </reference>
          <reference field="1" count="1" selected="0">
            <x v="16"/>
          </reference>
          <reference field="7" count="1" selected="0">
            <x v="75"/>
          </reference>
        </references>
      </pivotArea>
    </chartFormat>
    <chartFormat chart="2" format="548">
      <pivotArea type="data" outline="0" fieldPosition="0">
        <references count="3">
          <reference field="4294967294" count="1" selected="0">
            <x v="3"/>
          </reference>
          <reference field="1" count="1" selected="0">
            <x v="16"/>
          </reference>
          <reference field="7" count="1" selected="0">
            <x v="90"/>
          </reference>
        </references>
      </pivotArea>
    </chartFormat>
    <chartFormat chart="2" format="549">
      <pivotArea type="data" outline="0" fieldPosition="0">
        <references count="3">
          <reference field="4294967294" count="1" selected="0">
            <x v="3"/>
          </reference>
          <reference field="1" count="1" selected="0">
            <x v="16"/>
          </reference>
          <reference field="7" count="1" selected="0">
            <x v="104"/>
          </reference>
        </references>
      </pivotArea>
    </chartFormat>
    <chartFormat chart="2" format="550">
      <pivotArea type="data" outline="0" fieldPosition="0">
        <references count="3">
          <reference field="4294967294" count="1" selected="0">
            <x v="3"/>
          </reference>
          <reference field="1" count="1" selected="0">
            <x v="16"/>
          </reference>
          <reference field="7" count="1" selected="0">
            <x v="116"/>
          </reference>
        </references>
      </pivotArea>
    </chartFormat>
    <chartFormat chart="2" format="551">
      <pivotArea type="data" outline="0" fieldPosition="0">
        <references count="3">
          <reference field="4294967294" count="1" selected="0">
            <x v="3"/>
          </reference>
          <reference field="1" count="1" selected="0">
            <x v="16"/>
          </reference>
          <reference field="7" count="1" selected="0">
            <x v="135"/>
          </reference>
        </references>
      </pivotArea>
    </chartFormat>
    <chartFormat chart="2" format="552">
      <pivotArea type="data" outline="0" fieldPosition="0">
        <references count="3">
          <reference field="4294967294" count="1" selected="0">
            <x v="3"/>
          </reference>
          <reference field="1" count="1" selected="0">
            <x v="17"/>
          </reference>
          <reference field="7" count="1" selected="0">
            <x v="34"/>
          </reference>
        </references>
      </pivotArea>
    </chartFormat>
    <chartFormat chart="2" format="553">
      <pivotArea type="data" outline="0" fieldPosition="0">
        <references count="3">
          <reference field="4294967294" count="1" selected="0">
            <x v="3"/>
          </reference>
          <reference field="1" count="1" selected="0">
            <x v="17"/>
          </reference>
          <reference field="7" count="1" selected="0">
            <x v="38"/>
          </reference>
        </references>
      </pivotArea>
    </chartFormat>
    <chartFormat chart="2" format="554">
      <pivotArea type="data" outline="0" fieldPosition="0">
        <references count="3">
          <reference field="4294967294" count="1" selected="0">
            <x v="3"/>
          </reference>
          <reference field="1" count="1" selected="0">
            <x v="17"/>
          </reference>
          <reference field="7" count="1" selected="0">
            <x v="61"/>
          </reference>
        </references>
      </pivotArea>
    </chartFormat>
    <chartFormat chart="2" format="555">
      <pivotArea type="data" outline="0" fieldPosition="0">
        <references count="3">
          <reference field="4294967294" count="1" selected="0">
            <x v="3"/>
          </reference>
          <reference field="1" count="1" selected="0">
            <x v="17"/>
          </reference>
          <reference field="7" count="1" selected="0">
            <x v="96"/>
          </reference>
        </references>
      </pivotArea>
    </chartFormat>
    <chartFormat chart="2" format="556">
      <pivotArea type="data" outline="0" fieldPosition="0">
        <references count="3">
          <reference field="4294967294" count="1" selected="0">
            <x v="3"/>
          </reference>
          <reference field="1" count="1" selected="0">
            <x v="17"/>
          </reference>
          <reference field="7" count="1" selected="0">
            <x v="120"/>
          </reference>
        </references>
      </pivotArea>
    </chartFormat>
    <chartFormat chart="2" format="557">
      <pivotArea type="data" outline="0" fieldPosition="0">
        <references count="3">
          <reference field="4294967294" count="1" selected="0">
            <x v="3"/>
          </reference>
          <reference field="1" count="1" selected="0">
            <x v="17"/>
          </reference>
          <reference field="7" count="1" selected="0">
            <x v="139"/>
          </reference>
        </references>
      </pivotArea>
    </chartFormat>
    <chartFormat chart="2" format="558">
      <pivotArea type="data" outline="0" fieldPosition="0">
        <references count="3">
          <reference field="4294967294" count="1" selected="0">
            <x v="3"/>
          </reference>
          <reference field="1" count="1" selected="0">
            <x v="18"/>
          </reference>
          <reference field="7" count="1" selected="0">
            <x v="34"/>
          </reference>
        </references>
      </pivotArea>
    </chartFormat>
    <chartFormat chart="2" format="559">
      <pivotArea type="data" outline="0" fieldPosition="0">
        <references count="3">
          <reference field="4294967294" count="1" selected="0">
            <x v="3"/>
          </reference>
          <reference field="1" count="1" selected="0">
            <x v="18"/>
          </reference>
          <reference field="7" count="1" selected="0">
            <x v="39"/>
          </reference>
        </references>
      </pivotArea>
    </chartFormat>
    <chartFormat chart="2" format="560">
      <pivotArea type="data" outline="0" fieldPosition="0">
        <references count="3">
          <reference field="4294967294" count="1" selected="0">
            <x v="3"/>
          </reference>
          <reference field="1" count="1" selected="0">
            <x v="18"/>
          </reference>
          <reference field="7" count="1" selected="0">
            <x v="46"/>
          </reference>
        </references>
      </pivotArea>
    </chartFormat>
    <chartFormat chart="2" format="561">
      <pivotArea type="data" outline="0" fieldPosition="0">
        <references count="3">
          <reference field="4294967294" count="1" selected="0">
            <x v="3"/>
          </reference>
          <reference field="1" count="1" selected="0">
            <x v="18"/>
          </reference>
          <reference field="7" count="1" selected="0">
            <x v="63"/>
          </reference>
        </references>
      </pivotArea>
    </chartFormat>
    <chartFormat chart="2" format="562">
      <pivotArea type="data" outline="0" fieldPosition="0">
        <references count="3">
          <reference field="4294967294" count="1" selected="0">
            <x v="3"/>
          </reference>
          <reference field="1" count="1" selected="0">
            <x v="18"/>
          </reference>
          <reference field="7" count="1" selected="0">
            <x v="95"/>
          </reference>
        </references>
      </pivotArea>
    </chartFormat>
    <chartFormat chart="2" format="563">
      <pivotArea type="data" outline="0" fieldPosition="0">
        <references count="3">
          <reference field="4294967294" count="1" selected="0">
            <x v="3"/>
          </reference>
          <reference field="1" count="1" selected="0">
            <x v="19"/>
          </reference>
          <reference field="7" count="1" selected="0">
            <x v="67"/>
          </reference>
        </references>
      </pivotArea>
    </chartFormat>
    <chartFormat chart="2" format="564">
      <pivotArea type="data" outline="0" fieldPosition="0">
        <references count="3">
          <reference field="4294967294" count="1" selected="0">
            <x v="3"/>
          </reference>
          <reference field="1" count="1" selected="0">
            <x v="19"/>
          </reference>
          <reference field="7" count="1" selected="0">
            <x v="68"/>
          </reference>
        </references>
      </pivotArea>
    </chartFormat>
    <chartFormat chart="2" format="565">
      <pivotArea type="data" outline="0" fieldPosition="0">
        <references count="3">
          <reference field="4294967294" count="1" selected="0">
            <x v="3"/>
          </reference>
          <reference field="1" count="1" selected="0">
            <x v="19"/>
          </reference>
          <reference field="7" count="1" selected="0">
            <x v="74"/>
          </reference>
        </references>
      </pivotArea>
    </chartFormat>
    <chartFormat chart="2" format="566">
      <pivotArea type="data" outline="0" fieldPosition="0">
        <references count="3">
          <reference field="4294967294" count="1" selected="0">
            <x v="3"/>
          </reference>
          <reference field="1" count="1" selected="0">
            <x v="19"/>
          </reference>
          <reference field="7" count="1" selected="0">
            <x v="113"/>
          </reference>
        </references>
      </pivotArea>
    </chartFormat>
    <chartFormat chart="2" format="567">
      <pivotArea type="data" outline="0" fieldPosition="0">
        <references count="3">
          <reference field="4294967294" count="1" selected="0">
            <x v="3"/>
          </reference>
          <reference field="1" count="1" selected="0">
            <x v="19"/>
          </reference>
          <reference field="7" count="1" selected="0">
            <x v="115"/>
          </reference>
        </references>
      </pivotArea>
    </chartFormat>
    <chartFormat chart="2" format="568">
      <pivotArea type="data" outline="0" fieldPosition="0">
        <references count="3">
          <reference field="4294967294" count="1" selected="0">
            <x v="3"/>
          </reference>
          <reference field="1" count="1" selected="0">
            <x v="19"/>
          </reference>
          <reference field="7" count="1" selected="0">
            <x v="137"/>
          </reference>
        </references>
      </pivotArea>
    </chartFormat>
    <chartFormat chart="2" format="569">
      <pivotArea type="data" outline="0" fieldPosition="0">
        <references count="3">
          <reference field="4294967294" count="1" selected="0">
            <x v="3"/>
          </reference>
          <reference field="1" count="1" selected="0">
            <x v="20"/>
          </reference>
          <reference field="7" count="1" selected="0">
            <x v="1"/>
          </reference>
        </references>
      </pivotArea>
    </chartFormat>
    <chartFormat chart="2" format="570">
      <pivotArea type="data" outline="0" fieldPosition="0">
        <references count="3">
          <reference field="4294967294" count="1" selected="0">
            <x v="3"/>
          </reference>
          <reference field="1" count="1" selected="0">
            <x v="20"/>
          </reference>
          <reference field="7" count="1" selected="0">
            <x v="9"/>
          </reference>
        </references>
      </pivotArea>
    </chartFormat>
    <chartFormat chart="2" format="571">
      <pivotArea type="data" outline="0" fieldPosition="0">
        <references count="3">
          <reference field="4294967294" count="1" selected="0">
            <x v="3"/>
          </reference>
          <reference field="1" count="1" selected="0">
            <x v="20"/>
          </reference>
          <reference field="7" count="1" selected="0">
            <x v="13"/>
          </reference>
        </references>
      </pivotArea>
    </chartFormat>
    <chartFormat chart="2" format="572">
      <pivotArea type="data" outline="0" fieldPosition="0">
        <references count="3">
          <reference field="4294967294" count="1" selected="0">
            <x v="3"/>
          </reference>
          <reference field="1" count="1" selected="0">
            <x v="20"/>
          </reference>
          <reference field="7" count="1" selected="0">
            <x v="26"/>
          </reference>
        </references>
      </pivotArea>
    </chartFormat>
    <chartFormat chart="2" format="573">
      <pivotArea type="data" outline="0" fieldPosition="0">
        <references count="3">
          <reference field="4294967294" count="1" selected="0">
            <x v="3"/>
          </reference>
          <reference field="1" count="1" selected="0">
            <x v="20"/>
          </reference>
          <reference field="7" count="1" selected="0">
            <x v="92"/>
          </reference>
        </references>
      </pivotArea>
    </chartFormat>
    <chartFormat chart="2" format="574">
      <pivotArea type="data" outline="0" fieldPosition="0">
        <references count="3">
          <reference field="4294967294" count="1" selected="0">
            <x v="3"/>
          </reference>
          <reference field="1" count="1" selected="0">
            <x v="20"/>
          </reference>
          <reference field="7" count="1" selected="0">
            <x v="119"/>
          </reference>
        </references>
      </pivotArea>
    </chartFormat>
    <chartFormat chart="2" format="575">
      <pivotArea type="data" outline="0" fieldPosition="0">
        <references count="3">
          <reference field="4294967294" count="1" selected="0">
            <x v="3"/>
          </reference>
          <reference field="1" count="1" selected="0">
            <x v="20"/>
          </reference>
          <reference field="7" count="1" selected="0">
            <x v="141"/>
          </reference>
        </references>
      </pivotArea>
    </chartFormat>
    <chartFormat chart="2" format="576">
      <pivotArea type="data" outline="0" fieldPosition="0">
        <references count="3">
          <reference field="4294967294" count="1" selected="0">
            <x v="3"/>
          </reference>
          <reference field="1" count="1" selected="0">
            <x v="21"/>
          </reference>
          <reference field="7" count="1" selected="0">
            <x v="25"/>
          </reference>
        </references>
      </pivotArea>
    </chartFormat>
    <chartFormat chart="2" format="577">
      <pivotArea type="data" outline="0" fieldPosition="0">
        <references count="3">
          <reference field="4294967294" count="1" selected="0">
            <x v="3"/>
          </reference>
          <reference field="1" count="1" selected="0">
            <x v="21"/>
          </reference>
          <reference field="7" count="1" selected="0">
            <x v="52"/>
          </reference>
        </references>
      </pivotArea>
    </chartFormat>
    <chartFormat chart="2" format="578">
      <pivotArea type="data" outline="0" fieldPosition="0">
        <references count="3">
          <reference field="4294967294" count="1" selected="0">
            <x v="3"/>
          </reference>
          <reference field="1" count="1" selected="0">
            <x v="21"/>
          </reference>
          <reference field="7" count="1" selected="0">
            <x v="55"/>
          </reference>
        </references>
      </pivotArea>
    </chartFormat>
    <chartFormat chart="2" format="579">
      <pivotArea type="data" outline="0" fieldPosition="0">
        <references count="3">
          <reference field="4294967294" count="1" selected="0">
            <x v="3"/>
          </reference>
          <reference field="1" count="1" selected="0">
            <x v="21"/>
          </reference>
          <reference field="7" count="1" selected="0">
            <x v="64"/>
          </reference>
        </references>
      </pivotArea>
    </chartFormat>
    <chartFormat chart="2" format="580">
      <pivotArea type="data" outline="0" fieldPosition="0">
        <references count="3">
          <reference field="4294967294" count="1" selected="0">
            <x v="3"/>
          </reference>
          <reference field="1" count="1" selected="0">
            <x v="21"/>
          </reference>
          <reference field="7" count="1" selected="0">
            <x v="82"/>
          </reference>
        </references>
      </pivotArea>
    </chartFormat>
    <chartFormat chart="2" format="581">
      <pivotArea type="data" outline="0" fieldPosition="0">
        <references count="3">
          <reference field="4294967294" count="1" selected="0">
            <x v="3"/>
          </reference>
          <reference field="1" count="1" selected="0">
            <x v="21"/>
          </reference>
          <reference field="7" count="1" selected="0">
            <x v="99"/>
          </reference>
        </references>
      </pivotArea>
    </chartFormat>
    <chartFormat chart="2" format="582">
      <pivotArea type="data" outline="0" fieldPosition="0">
        <references count="3">
          <reference field="4294967294" count="1" selected="0">
            <x v="3"/>
          </reference>
          <reference field="1" count="1" selected="0">
            <x v="21"/>
          </reference>
          <reference field="7" count="1" selected="0">
            <x v="112"/>
          </reference>
        </references>
      </pivotArea>
    </chartFormat>
    <chartFormat chart="2" format="583">
      <pivotArea type="data" outline="0" fieldPosition="0">
        <references count="3">
          <reference field="4294967294" count="1" selected="0">
            <x v="3"/>
          </reference>
          <reference field="1" count="1" selected="0">
            <x v="21"/>
          </reference>
          <reference field="7" count="1" selected="0">
            <x v="121"/>
          </reference>
        </references>
      </pivotArea>
    </chartFormat>
    <chartFormat chart="2" format="584">
      <pivotArea type="data" outline="0" fieldPosition="0">
        <references count="3">
          <reference field="4294967294" count="1" selected="0">
            <x v="3"/>
          </reference>
          <reference field="1" count="1" selected="0">
            <x v="21"/>
          </reference>
          <reference field="7" count="1" selected="0">
            <x v="124"/>
          </reference>
        </references>
      </pivotArea>
    </chartFormat>
  </chartFormats>
  <pivotTableStyleInfo name="PivotStyleMedium6" showRowHeaders="1" showColHeaders="1" showRowStripes="0" showColStripes="0" showLastColumn="1"/>
  <filters count="1">
    <filter fld="0" type="dateBetween" evalOrder="-1" id="113" name="Rendelés Dátuma">
      <autoFilter ref="A1">
        <filterColumn colId="0">
          <customFilters and="1">
            <customFilter operator="greaterThanOrEqual" val="45658"/>
            <customFilter operator="lessThanOrEqual" val="456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AC3A0F-F145-4E3C-A284-600263C213A9}"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D2" firstHeaderRow="1" firstDataRow="1" firstDataCol="0"/>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23">
        <item x="2"/>
        <item x="19"/>
        <item x="1"/>
        <item x="8"/>
        <item x="0"/>
        <item x="21"/>
        <item x="14"/>
        <item x="17"/>
        <item x="9"/>
        <item x="13"/>
        <item x="16"/>
        <item x="18"/>
        <item x="5"/>
        <item x="12"/>
        <item x="4"/>
        <item x="10"/>
        <item x="15"/>
        <item x="20"/>
        <item x="3"/>
        <item x="7"/>
        <item x="11"/>
        <item x="6"/>
        <item t="default"/>
      </items>
    </pivotField>
    <pivotField dataField="1" numFmtId="164" showAll="0"/>
    <pivotField numFmtId="165" showAll="0"/>
    <pivotField numFmtId="165" showAll="0"/>
    <pivotField numFmtId="165" showAll="0"/>
    <pivotField showAll="0"/>
    <pivotField showAll="0"/>
    <pivotField numFmtId="165" showAll="0"/>
    <pivotField numFmtId="10" showAll="0"/>
    <pivotField numFmtId="10" showAll="0"/>
    <pivotField showAll="0"/>
    <pivotField showAll="0"/>
  </pivotFields>
  <rowItems count="1">
    <i/>
  </rowItems>
  <colItems count="1">
    <i/>
  </colItems>
  <dataFields count="1">
    <dataField name="Rendelt mennyiség" fld="2" baseField="0" baseItem="0" numFmtId="164"/>
  </dataFields>
  <formats count="12">
    <format dxfId="1119">
      <pivotArea type="all" dataOnly="0" outline="0" fieldPosition="0"/>
    </format>
    <format dxfId="1118">
      <pivotArea outline="0" collapsedLevelsAreSubtotals="1" fieldPosition="0"/>
    </format>
    <format dxfId="1117">
      <pivotArea dataOnly="0" labelOnly="1" outline="0" axis="axisValues" fieldPosition="0"/>
    </format>
    <format dxfId="1116">
      <pivotArea type="all" dataOnly="0" outline="0" fieldPosition="0"/>
    </format>
    <format dxfId="1115">
      <pivotArea outline="0" collapsedLevelsAreSubtotals="1" fieldPosition="0"/>
    </format>
    <format dxfId="1114">
      <pivotArea dataOnly="0" labelOnly="1" outline="0" axis="axisValues" fieldPosition="0"/>
    </format>
    <format dxfId="1113">
      <pivotArea type="all" dataOnly="0" outline="0" fieldPosition="0"/>
    </format>
    <format dxfId="1112">
      <pivotArea outline="0" collapsedLevelsAreSubtotals="1" fieldPosition="0"/>
    </format>
    <format dxfId="1111">
      <pivotArea dataOnly="0" labelOnly="1" outline="0" axis="axisValues" fieldPosition="0"/>
    </format>
    <format dxfId="1110">
      <pivotArea type="all" dataOnly="0" outline="0" fieldPosition="0"/>
    </format>
    <format dxfId="1109">
      <pivotArea outline="0" collapsedLevelsAreSubtotals="1" fieldPosition="0"/>
    </format>
    <format dxfId="1108">
      <pivotArea dataOnly="0" labelOnly="1" outline="0" axis="axisValues" fieldPosition="0"/>
    </format>
  </formats>
  <pivotTableStyleInfo name="PivotStyleLight19" showRowHeaders="1" showColHeaders="1" showRowStripes="0" showColStripes="0" showLastColumn="1"/>
  <filters count="1">
    <filter fld="0" type="dateBetween" evalOrder="-1" id="482"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5D16E8-ECA9-4AD0-A675-01C3E79CAFC1}"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E2" firstHeaderRow="1" firstDataRow="1" firstDataCol="0"/>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23">
        <item x="2"/>
        <item x="19"/>
        <item x="1"/>
        <item x="8"/>
        <item x="0"/>
        <item x="21"/>
        <item x="14"/>
        <item x="17"/>
        <item x="9"/>
        <item x="13"/>
        <item x="16"/>
        <item x="18"/>
        <item x="5"/>
        <item x="12"/>
        <item x="4"/>
        <item x="10"/>
        <item x="15"/>
        <item x="20"/>
        <item x="3"/>
        <item x="7"/>
        <item x="11"/>
        <item x="6"/>
        <item t="default"/>
      </items>
    </pivotField>
    <pivotField numFmtId="164" showAll="0"/>
    <pivotField numFmtId="165" showAll="0"/>
    <pivotField numFmtId="165" showAll="0"/>
    <pivotField numFmtId="165" showAll="0"/>
    <pivotField showAll="0"/>
    <pivotField showAll="0"/>
    <pivotField dataField="1" numFmtId="165" showAll="0"/>
    <pivotField numFmtId="10" showAll="0"/>
    <pivotField numFmtId="10" showAll="0"/>
    <pivotField showAll="0"/>
    <pivotField showAll="0"/>
  </pivotFields>
  <rowItems count="1">
    <i/>
  </rowItems>
  <colItems count="1">
    <i/>
  </colItems>
  <dataFields count="1">
    <dataField name="Teljes profit" fld="8" baseField="0" baseItem="0" numFmtId="165"/>
  </dataFields>
  <formats count="12">
    <format dxfId="1131">
      <pivotArea type="all" dataOnly="0" outline="0" fieldPosition="0"/>
    </format>
    <format dxfId="1130">
      <pivotArea outline="0" collapsedLevelsAreSubtotals="1" fieldPosition="0"/>
    </format>
    <format dxfId="1129">
      <pivotArea dataOnly="0" labelOnly="1" outline="0" axis="axisValues" fieldPosition="0"/>
    </format>
    <format dxfId="1128">
      <pivotArea type="all" dataOnly="0" outline="0" fieldPosition="0"/>
    </format>
    <format dxfId="1127">
      <pivotArea outline="0" collapsedLevelsAreSubtotals="1" fieldPosition="0"/>
    </format>
    <format dxfId="1126">
      <pivotArea dataOnly="0" labelOnly="1" outline="0" axis="axisValues" fieldPosition="0"/>
    </format>
    <format dxfId="1125">
      <pivotArea type="all" dataOnly="0" outline="0" fieldPosition="0"/>
    </format>
    <format dxfId="1124">
      <pivotArea outline="0" collapsedLevelsAreSubtotals="1" fieldPosition="0"/>
    </format>
    <format dxfId="1123">
      <pivotArea dataOnly="0" labelOnly="1" outline="0" axis="axisValues" fieldPosition="0"/>
    </format>
    <format dxfId="1122">
      <pivotArea type="all" dataOnly="0" outline="0" fieldPosition="0"/>
    </format>
    <format dxfId="1121">
      <pivotArea outline="0" collapsedLevelsAreSubtotals="1" fieldPosition="0"/>
    </format>
    <format dxfId="1120">
      <pivotArea dataOnly="0" labelOnly="1" outline="0" axis="axisValues" fieldPosition="0"/>
    </format>
  </formats>
  <pivotTableStyleInfo name="PivotStyleLight19" showRowHeaders="1" showColHeaders="1" showRowStripes="0" showColStripes="0" showLastColumn="1"/>
  <filters count="1">
    <filter fld="0" type="dateBetween" evalOrder="-1" id="482"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41C7CFB-2302-464C-AEC1-9FF56C3DA2C6}"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F2" firstHeaderRow="1" firstDataRow="1" firstDataCol="0"/>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23">
        <item x="2"/>
        <item x="19"/>
        <item x="1"/>
        <item x="8"/>
        <item x="0"/>
        <item x="21"/>
        <item x="14"/>
        <item x="17"/>
        <item x="9"/>
        <item x="13"/>
        <item x="16"/>
        <item x="18"/>
        <item x="5"/>
        <item x="12"/>
        <item x="4"/>
        <item x="10"/>
        <item x="15"/>
        <item x="20"/>
        <item x="3"/>
        <item x="7"/>
        <item x="11"/>
        <item x="6"/>
        <item t="default"/>
      </items>
    </pivotField>
    <pivotField numFmtId="164" showAll="0"/>
    <pivotField numFmtId="165" showAll="0"/>
    <pivotField numFmtId="165" showAll="0"/>
    <pivotField numFmtId="165" showAll="0"/>
    <pivotField showAll="0"/>
    <pivotField showAll="0"/>
    <pivotField numFmtId="165" showAll="0"/>
    <pivotField numFmtId="10" showAll="0"/>
    <pivotField dataField="1" numFmtId="10" showAll="0"/>
    <pivotField showAll="0"/>
    <pivotField showAll="0"/>
  </pivotFields>
  <rowItems count="1">
    <i/>
  </rowItems>
  <colItems count="1">
    <i/>
  </colItems>
  <dataFields count="1">
    <dataField name="Átlagos Markup" fld="10" subtotal="average" baseField="0" baseItem="0" numFmtId="10"/>
  </dataFields>
  <formats count="12">
    <format dxfId="1143">
      <pivotArea type="all" dataOnly="0" outline="0" fieldPosition="0"/>
    </format>
    <format dxfId="1142">
      <pivotArea outline="0" collapsedLevelsAreSubtotals="1" fieldPosition="0"/>
    </format>
    <format dxfId="1141">
      <pivotArea dataOnly="0" labelOnly="1" outline="0" axis="axisValues" fieldPosition="0"/>
    </format>
    <format dxfId="1140">
      <pivotArea type="all" dataOnly="0" outline="0" fieldPosition="0"/>
    </format>
    <format dxfId="1139">
      <pivotArea outline="0" collapsedLevelsAreSubtotals="1" fieldPosition="0"/>
    </format>
    <format dxfId="1138">
      <pivotArea dataOnly="0" labelOnly="1" outline="0" axis="axisValues" fieldPosition="0"/>
    </format>
    <format dxfId="1137">
      <pivotArea type="all" dataOnly="0" outline="0" fieldPosition="0"/>
    </format>
    <format dxfId="1136">
      <pivotArea outline="0" collapsedLevelsAreSubtotals="1" fieldPosition="0"/>
    </format>
    <format dxfId="1135">
      <pivotArea dataOnly="0" labelOnly="1" outline="0" axis="axisValues" fieldPosition="0"/>
    </format>
    <format dxfId="1134">
      <pivotArea type="all" dataOnly="0" outline="0" fieldPosition="0"/>
    </format>
    <format dxfId="1133">
      <pivotArea outline="0" collapsedLevelsAreSubtotals="1" fieldPosition="0"/>
    </format>
    <format dxfId="1132">
      <pivotArea dataOnly="0" labelOnly="1" outline="0" axis="axisValues" fieldPosition="0"/>
    </format>
  </formats>
  <pivotTableStyleInfo name="PivotStyleLight19" showRowHeaders="1" showColHeaders="1" showRowStripes="0" showColStripes="0" showLastColumn="1"/>
  <filters count="1">
    <filter fld="0" type="dateBetween" evalOrder="-1" id="482"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4585EFD-37B7-44BD-B90B-E4F16864A9B9}"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G2" firstHeaderRow="1" firstDataRow="1" firstDataCol="0"/>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23">
        <item x="2"/>
        <item x="19"/>
        <item x="1"/>
        <item x="8"/>
        <item x="0"/>
        <item x="21"/>
        <item x="14"/>
        <item x="17"/>
        <item x="9"/>
        <item x="13"/>
        <item x="16"/>
        <item x="18"/>
        <item x="5"/>
        <item x="12"/>
        <item x="4"/>
        <item x="10"/>
        <item x="15"/>
        <item x="20"/>
        <item x="3"/>
        <item x="7"/>
        <item x="11"/>
        <item x="6"/>
        <item t="default"/>
      </items>
    </pivotField>
    <pivotField numFmtId="164" showAll="0"/>
    <pivotField numFmtId="165" showAll="0"/>
    <pivotField numFmtId="165" showAll="0"/>
    <pivotField numFmtId="165" showAll="0"/>
    <pivotField showAll="0"/>
    <pivotField showAll="0"/>
    <pivotField numFmtId="165" showAll="0"/>
    <pivotField dataField="1" numFmtId="10" showAll="0"/>
    <pivotField numFmtId="10" showAll="0"/>
    <pivotField showAll="0"/>
    <pivotField showAll="0"/>
  </pivotFields>
  <rowItems count="1">
    <i/>
  </rowItems>
  <colItems count="1">
    <i/>
  </colItems>
  <dataFields count="1">
    <dataField name="Átlagos Profit" fld="9" subtotal="average" baseField="0" baseItem="0" numFmtId="10"/>
  </dataFields>
  <formats count="12">
    <format dxfId="1155">
      <pivotArea type="all" dataOnly="0" outline="0" fieldPosition="0"/>
    </format>
    <format dxfId="1154">
      <pivotArea outline="0" collapsedLevelsAreSubtotals="1" fieldPosition="0"/>
    </format>
    <format dxfId="1153">
      <pivotArea dataOnly="0" labelOnly="1" outline="0" axis="axisValues" fieldPosition="0"/>
    </format>
    <format dxfId="1152">
      <pivotArea type="all" dataOnly="0" outline="0" fieldPosition="0"/>
    </format>
    <format dxfId="1151">
      <pivotArea outline="0" collapsedLevelsAreSubtotals="1" fieldPosition="0"/>
    </format>
    <format dxfId="1150">
      <pivotArea dataOnly="0" labelOnly="1" outline="0" axis="axisValues" fieldPosition="0"/>
    </format>
    <format dxfId="1149">
      <pivotArea type="all" dataOnly="0" outline="0" fieldPosition="0"/>
    </format>
    <format dxfId="1148">
      <pivotArea outline="0" collapsedLevelsAreSubtotals="1" fieldPosition="0"/>
    </format>
    <format dxfId="1147">
      <pivotArea dataOnly="0" labelOnly="1" outline="0" axis="axisValues" fieldPosition="0"/>
    </format>
    <format dxfId="1146">
      <pivotArea type="all" dataOnly="0" outline="0" fieldPosition="0"/>
    </format>
    <format dxfId="1145">
      <pivotArea outline="0" collapsedLevelsAreSubtotals="1" fieldPosition="0"/>
    </format>
    <format dxfId="1144">
      <pivotArea dataOnly="0" labelOnly="1" outline="0" axis="axisValues" fieldPosition="0"/>
    </format>
  </formats>
  <pivotTableStyleInfo name="PivotStyleLight19" showRowHeaders="1" showColHeaders="1" showRowStripes="0" showColStripes="0" showLastColumn="1"/>
  <filters count="1">
    <filter fld="0" type="dateBetween" evalOrder="-1" id="482"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46BC42C-0DCD-44DB-8D04-E75041AC8AC3}" name="PivotTable1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H2" firstHeaderRow="1" firstDataRow="1" firstDataCol="0"/>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23">
        <item x="2"/>
        <item x="19"/>
        <item x="1"/>
        <item x="8"/>
        <item x="0"/>
        <item x="21"/>
        <item x="14"/>
        <item x="17"/>
        <item x="9"/>
        <item x="13"/>
        <item x="16"/>
        <item x="18"/>
        <item x="5"/>
        <item x="12"/>
        <item x="4"/>
        <item x="10"/>
        <item x="15"/>
        <item x="20"/>
        <item x="3"/>
        <item x="7"/>
        <item x="11"/>
        <item x="6"/>
        <item t="default"/>
      </items>
    </pivotField>
    <pivotField numFmtId="164" showAll="0"/>
    <pivotField dataField="1" numFmtId="165" showAll="0"/>
    <pivotField numFmtId="165" showAll="0"/>
    <pivotField numFmtId="165" showAll="0"/>
    <pivotField showAll="0"/>
    <pivotField showAll="0"/>
    <pivotField numFmtId="165" showAll="0"/>
    <pivotField numFmtId="10" showAll="0"/>
    <pivotField numFmtId="10" showAll="0"/>
    <pivotField showAll="0"/>
    <pivotField showAll="0"/>
  </pivotFields>
  <rowItems count="1">
    <i/>
  </rowItems>
  <colItems count="1">
    <i/>
  </colItems>
  <dataFields count="1">
    <dataField name="Átlagos bevétel" fld="3" subtotal="average" baseField="0" baseItem="0" numFmtId="165"/>
  </dataFields>
  <formats count="12">
    <format dxfId="1167">
      <pivotArea type="all" dataOnly="0" outline="0" fieldPosition="0"/>
    </format>
    <format dxfId="1166">
      <pivotArea outline="0" collapsedLevelsAreSubtotals="1" fieldPosition="0"/>
    </format>
    <format dxfId="1165">
      <pivotArea dataOnly="0" labelOnly="1" outline="0" axis="axisValues" fieldPosition="0"/>
    </format>
    <format dxfId="1164">
      <pivotArea type="all" dataOnly="0" outline="0" fieldPosition="0"/>
    </format>
    <format dxfId="1163">
      <pivotArea outline="0" collapsedLevelsAreSubtotals="1" fieldPosition="0"/>
    </format>
    <format dxfId="1162">
      <pivotArea dataOnly="0" labelOnly="1" outline="0" axis="axisValues" fieldPosition="0"/>
    </format>
    <format dxfId="1161">
      <pivotArea type="all" dataOnly="0" outline="0" fieldPosition="0"/>
    </format>
    <format dxfId="1160">
      <pivotArea outline="0" collapsedLevelsAreSubtotals="1" fieldPosition="0"/>
    </format>
    <format dxfId="1159">
      <pivotArea dataOnly="0" labelOnly="1" outline="0" axis="axisValues" fieldPosition="0"/>
    </format>
    <format dxfId="1158">
      <pivotArea type="all" dataOnly="0" outline="0" fieldPosition="0"/>
    </format>
    <format dxfId="1157">
      <pivotArea outline="0" collapsedLevelsAreSubtotals="1" fieldPosition="0"/>
    </format>
    <format dxfId="1156">
      <pivotArea dataOnly="0" labelOnly="1" outline="0" axis="axisValues" fieldPosition="0"/>
    </format>
  </formats>
  <pivotTableStyleInfo name="PivotStyleLight19" showRowHeaders="1" showColHeaders="1" showRowStripes="0" showColStripes="0" showLastColumn="1"/>
  <filters count="1">
    <filter fld="0" type="dateBetween" evalOrder="-1" id="485"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3C56479-0F88-451E-9272-AE31375395FF}"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C2" firstHeaderRow="1" firstDataRow="1" firstDataCol="0"/>
  <pivotFields count="13">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23">
        <item x="2"/>
        <item x="19"/>
        <item x="1"/>
        <item x="8"/>
        <item x="0"/>
        <item x="21"/>
        <item x="14"/>
        <item x="17"/>
        <item x="9"/>
        <item x="13"/>
        <item x="16"/>
        <item x="18"/>
        <item x="5"/>
        <item x="12"/>
        <item x="4"/>
        <item x="10"/>
        <item x="15"/>
        <item x="20"/>
        <item x="3"/>
        <item x="7"/>
        <item x="11"/>
        <item x="6"/>
        <item t="default"/>
      </items>
    </pivotField>
    <pivotField numFmtId="164" showAll="0"/>
    <pivotField dataField="1" numFmtId="165" showAll="0"/>
    <pivotField numFmtId="165" showAll="0"/>
    <pivotField numFmtId="165" showAll="0"/>
    <pivotField showAll="0">
      <items count="3">
        <item x="1"/>
        <item x="0"/>
        <item t="default"/>
      </items>
    </pivotField>
    <pivotField showAll="0"/>
    <pivotField numFmtId="165" showAll="0"/>
    <pivotField numFmtId="10" showAll="0"/>
    <pivotField numFmtId="10" showAll="0"/>
    <pivotField showAll="0">
      <items count="8">
        <item x="1"/>
        <item x="0"/>
        <item x="6"/>
        <item x="4"/>
        <item x="5"/>
        <item x="3"/>
        <item x="2"/>
        <item t="default"/>
      </items>
    </pivotField>
    <pivotField showAll="0">
      <items count="4">
        <item x="2"/>
        <item x="1"/>
        <item x="0"/>
        <item t="default"/>
      </items>
    </pivotField>
  </pivotFields>
  <rowItems count="1">
    <i/>
  </rowItems>
  <colItems count="1">
    <i/>
  </colItems>
  <dataFields count="1">
    <dataField name="Teljes bevétel" fld="3" baseField="0" baseItem="0" numFmtId="165"/>
  </dataFields>
  <formats count="12">
    <format dxfId="1179">
      <pivotArea type="all" dataOnly="0" outline="0" fieldPosition="0"/>
    </format>
    <format dxfId="1178">
      <pivotArea outline="0" collapsedLevelsAreSubtotals="1" fieldPosition="0"/>
    </format>
    <format dxfId="1177">
      <pivotArea dataOnly="0" labelOnly="1" outline="0" axis="axisValues" fieldPosition="0"/>
    </format>
    <format dxfId="1176">
      <pivotArea type="all" dataOnly="0" outline="0" fieldPosition="0"/>
    </format>
    <format dxfId="1175">
      <pivotArea outline="0" collapsedLevelsAreSubtotals="1" fieldPosition="0"/>
    </format>
    <format dxfId="1174">
      <pivotArea dataOnly="0" labelOnly="1" outline="0" axis="axisValues" fieldPosition="0"/>
    </format>
    <format dxfId="1173">
      <pivotArea type="all" dataOnly="0" outline="0" fieldPosition="0"/>
    </format>
    <format dxfId="1172">
      <pivotArea outline="0" collapsedLevelsAreSubtotals="1" fieldPosition="0"/>
    </format>
    <format dxfId="1171">
      <pivotArea dataOnly="0" labelOnly="1" outline="0" axis="axisValues" fieldPosition="0"/>
    </format>
    <format dxfId="1170">
      <pivotArea type="all" dataOnly="0" outline="0" fieldPosition="0"/>
    </format>
    <format dxfId="1169">
      <pivotArea outline="0" collapsedLevelsAreSubtotals="1" fieldPosition="0"/>
    </format>
    <format dxfId="1168">
      <pivotArea dataOnly="0" labelOnly="1" outline="0" axis="axisValues" fieldPosition="0"/>
    </format>
  </formats>
  <pivotTableStyleInfo name="PivotStyleLight19" showRowHeaders="0" showColHeaders="1" showRowStripes="0" showColStripes="0" showLastColumn="1"/>
  <filters count="1">
    <filter fld="0" type="dateBetween" evalOrder="-1" id="482" name="Rendelés Dátuma">
      <autoFilter ref="A1">
        <filterColumn colId="0">
          <customFilters and="1">
            <customFilter operator="greaterThanOrEqual" val="45680"/>
            <customFilter operator="lessThanOrEqual" val="456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B581186-5841-47DF-8DFB-F7A5EC4EE1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ndelés">
  <location ref="A3:D178" firstHeaderRow="0" firstDataRow="1" firstDataCol="1"/>
  <pivotFields count="11">
    <pivotField showAll="0"/>
    <pivotField axis="axisRow" showAll="0">
      <items count="143">
        <item x="73"/>
        <item x="109"/>
        <item x="111"/>
        <item x="76"/>
        <item x="123"/>
        <item x="113"/>
        <item x="45"/>
        <item x="14"/>
        <item x="89"/>
        <item x="75"/>
        <item x="103"/>
        <item x="35"/>
        <item x="116"/>
        <item x="11"/>
        <item x="129"/>
        <item x="90"/>
        <item x="78"/>
        <item x="141"/>
        <item x="54"/>
        <item x="134"/>
        <item x="50"/>
        <item x="18"/>
        <item x="42"/>
        <item x="71"/>
        <item x="122"/>
        <item x="58"/>
        <item x="36"/>
        <item x="43"/>
        <item x="31"/>
        <item x="83"/>
        <item x="133"/>
        <item x="74"/>
        <item x="17"/>
        <item x="87"/>
        <item x="47"/>
        <item x="40"/>
        <item x="67"/>
        <item x="80"/>
        <item x="1"/>
        <item x="3"/>
        <item x="105"/>
        <item x="117"/>
        <item x="51"/>
        <item x="37"/>
        <item x="61"/>
        <item x="96"/>
        <item x="100"/>
        <item x="125"/>
        <item x="95"/>
        <item x="124"/>
        <item x="130"/>
        <item x="139"/>
        <item x="28"/>
        <item x="63"/>
        <item x="108"/>
        <item x="85"/>
        <item x="53"/>
        <item x="136"/>
        <item x="92"/>
        <item x="97"/>
        <item x="55"/>
        <item x="0"/>
        <item x="88"/>
        <item x="30"/>
        <item x="19"/>
        <item x="64"/>
        <item x="4"/>
        <item x="56"/>
        <item x="93"/>
        <item x="82"/>
        <item x="57"/>
        <item x="112"/>
        <item x="32"/>
        <item x="132"/>
        <item x="7"/>
        <item x="9"/>
        <item x="52"/>
        <item x="8"/>
        <item x="62"/>
        <item x="107"/>
        <item x="128"/>
        <item x="119"/>
        <item x="44"/>
        <item x="120"/>
        <item x="84"/>
        <item x="33"/>
        <item x="23"/>
        <item x="70"/>
        <item x="114"/>
        <item x="34"/>
        <item x="94"/>
        <item x="69"/>
        <item x="91"/>
        <item x="66"/>
        <item x="22"/>
        <item x="121"/>
        <item x="140"/>
        <item x="2"/>
        <item x="24"/>
        <item x="6"/>
        <item x="98"/>
        <item x="106"/>
        <item x="5"/>
        <item x="49"/>
        <item x="16"/>
        <item x="26"/>
        <item x="99"/>
        <item x="48"/>
        <item x="21"/>
        <item x="65"/>
        <item x="86"/>
        <item x="79"/>
        <item x="104"/>
        <item x="77"/>
        <item x="29"/>
        <item x="41"/>
        <item x="38"/>
        <item x="39"/>
        <item x="25"/>
        <item x="60"/>
        <item x="118"/>
        <item x="12"/>
        <item x="138"/>
        <item x="15"/>
        <item x="81"/>
        <item x="13"/>
        <item x="135"/>
        <item x="10"/>
        <item x="131"/>
        <item x="101"/>
        <item x="72"/>
        <item x="137"/>
        <item x="115"/>
        <item x="46"/>
        <item x="102"/>
        <item x="20"/>
        <item x="110"/>
        <item x="127"/>
        <item x="59"/>
        <item x="68"/>
        <item x="27"/>
        <item x="126"/>
        <item t="default"/>
      </items>
    </pivotField>
    <pivotField showAll="0"/>
    <pivotField showAll="0"/>
    <pivotField axis="axisRow" showAll="0" nonAutoSortDefault="1">
      <items count="9">
        <item x="5"/>
        <item x="7"/>
        <item x="0"/>
        <item x="2"/>
        <item x="4"/>
        <item x="1"/>
        <item x="6"/>
        <item x="3"/>
        <item t="default"/>
      </items>
    </pivotField>
    <pivotField axis="axisRow" showAll="0">
      <items count="25">
        <item x="11"/>
        <item x="1"/>
        <item x="7"/>
        <item x="3"/>
        <item x="20"/>
        <item x="4"/>
        <item x="19"/>
        <item x="9"/>
        <item x="18"/>
        <item x="13"/>
        <item x="6"/>
        <item x="12"/>
        <item x="22"/>
        <item x="15"/>
        <item x="2"/>
        <item x="5"/>
        <item x="16"/>
        <item x="17"/>
        <item x="0"/>
        <item x="23"/>
        <item x="8"/>
        <item x="21"/>
        <item x="14"/>
        <item x="10"/>
        <item t="default"/>
      </items>
    </pivotField>
    <pivotField numFmtId="14" showAll="0"/>
    <pivotField dataField="1" showAll="0"/>
    <pivotField dataField="1" showAll="0"/>
    <pivotField showAll="0">
      <items count="4">
        <item x="2"/>
        <item x="1"/>
        <item x="0"/>
        <item t="default"/>
      </items>
    </pivotField>
    <pivotField dataField="1" showAll="0"/>
  </pivotFields>
  <rowFields count="3">
    <field x="4"/>
    <field x="5"/>
    <field x="1"/>
  </rowFields>
  <rowItems count="175">
    <i>
      <x/>
    </i>
    <i r="1">
      <x v="6"/>
    </i>
    <i r="2">
      <x v="9"/>
    </i>
    <i r="1">
      <x v="11"/>
    </i>
    <i r="2">
      <x v="49"/>
    </i>
    <i r="2">
      <x v="89"/>
    </i>
    <i>
      <x v="1"/>
    </i>
    <i r="1">
      <x v="16"/>
    </i>
    <i r="2">
      <x v="62"/>
    </i>
    <i r="2">
      <x v="67"/>
    </i>
    <i r="1">
      <x v="21"/>
    </i>
    <i r="2">
      <x v="48"/>
    </i>
    <i r="1">
      <x v="22"/>
    </i>
    <i r="2">
      <x v="6"/>
    </i>
    <i r="2">
      <x v="131"/>
    </i>
    <i>
      <x v="2"/>
    </i>
    <i r="1">
      <x v="2"/>
    </i>
    <i r="2">
      <x/>
    </i>
    <i r="2">
      <x v="13"/>
    </i>
    <i r="2">
      <x v="14"/>
    </i>
    <i r="2">
      <x v="19"/>
    </i>
    <i r="2">
      <x v="22"/>
    </i>
    <i r="2">
      <x v="30"/>
    </i>
    <i r="2">
      <x v="36"/>
    </i>
    <i r="2">
      <x v="44"/>
    </i>
    <i r="2">
      <x v="50"/>
    </i>
    <i r="2">
      <x v="53"/>
    </i>
    <i r="2">
      <x v="59"/>
    </i>
    <i r="2">
      <x v="85"/>
    </i>
    <i r="2">
      <x v="86"/>
    </i>
    <i r="2">
      <x v="121"/>
    </i>
    <i r="2">
      <x v="122"/>
    </i>
    <i r="1">
      <x v="5"/>
    </i>
    <i r="2">
      <x v="3"/>
    </i>
    <i r="2">
      <x v="11"/>
    </i>
    <i r="2">
      <x v="25"/>
    </i>
    <i r="2">
      <x v="26"/>
    </i>
    <i r="2">
      <x v="31"/>
    </i>
    <i r="2">
      <x v="34"/>
    </i>
    <i r="2">
      <x v="37"/>
    </i>
    <i r="2">
      <x v="40"/>
    </i>
    <i r="2">
      <x v="43"/>
    </i>
    <i r="2">
      <x v="58"/>
    </i>
    <i r="2">
      <x v="66"/>
    </i>
    <i r="2">
      <x v="75"/>
    </i>
    <i r="2">
      <x v="79"/>
    </i>
    <i r="2">
      <x v="88"/>
    </i>
    <i r="2">
      <x v="96"/>
    </i>
    <i r="2">
      <x v="99"/>
    </i>
    <i r="2">
      <x v="101"/>
    </i>
    <i r="2">
      <x v="111"/>
    </i>
    <i r="2">
      <x v="113"/>
    </i>
    <i r="2">
      <x v="115"/>
    </i>
    <i r="2">
      <x v="117"/>
    </i>
    <i r="2">
      <x v="138"/>
    </i>
    <i r="1">
      <x v="7"/>
    </i>
    <i r="2">
      <x v="10"/>
    </i>
    <i r="2">
      <x v="12"/>
    </i>
    <i r="2">
      <x v="35"/>
    </i>
    <i r="2">
      <x v="51"/>
    </i>
    <i r="2">
      <x v="54"/>
    </i>
    <i r="2">
      <x v="56"/>
    </i>
    <i r="2">
      <x v="60"/>
    </i>
    <i r="2">
      <x v="64"/>
    </i>
    <i r="2">
      <x v="81"/>
    </i>
    <i r="2">
      <x v="84"/>
    </i>
    <i r="2">
      <x v="98"/>
    </i>
    <i r="2">
      <x v="106"/>
    </i>
    <i r="2">
      <x v="114"/>
    </i>
    <i r="2">
      <x v="132"/>
    </i>
    <i r="2">
      <x v="133"/>
    </i>
    <i r="1">
      <x v="14"/>
    </i>
    <i r="2">
      <x v="1"/>
    </i>
    <i r="2">
      <x v="2"/>
    </i>
    <i r="2">
      <x v="7"/>
    </i>
    <i r="2">
      <x v="21"/>
    </i>
    <i r="2">
      <x v="42"/>
    </i>
    <i r="2">
      <x v="47"/>
    </i>
    <i r="2">
      <x v="57"/>
    </i>
    <i r="2">
      <x v="69"/>
    </i>
    <i r="2">
      <x v="78"/>
    </i>
    <i r="2">
      <x v="82"/>
    </i>
    <i r="2">
      <x v="91"/>
    </i>
    <i r="2">
      <x v="95"/>
    </i>
    <i r="2">
      <x v="97"/>
    </i>
    <i r="2">
      <x v="103"/>
    </i>
    <i r="2">
      <x v="125"/>
    </i>
    <i r="2">
      <x v="137"/>
    </i>
    <i r="1">
      <x v="15"/>
    </i>
    <i r="2">
      <x v="8"/>
    </i>
    <i r="2">
      <x v="16"/>
    </i>
    <i r="2">
      <x v="18"/>
    </i>
    <i r="2">
      <x v="24"/>
    </i>
    <i r="2">
      <x v="32"/>
    </i>
    <i r="2">
      <x v="45"/>
    </i>
    <i r="2">
      <x v="55"/>
    </i>
    <i r="2">
      <x v="74"/>
    </i>
    <i r="2">
      <x v="76"/>
    </i>
    <i r="2">
      <x v="77"/>
    </i>
    <i r="2">
      <x v="83"/>
    </i>
    <i r="2">
      <x v="87"/>
    </i>
    <i r="2">
      <x v="90"/>
    </i>
    <i r="2">
      <x v="92"/>
    </i>
    <i r="2">
      <x v="93"/>
    </i>
    <i r="2">
      <x v="102"/>
    </i>
    <i r="2">
      <x v="104"/>
    </i>
    <i r="2">
      <x v="109"/>
    </i>
    <i r="2">
      <x v="129"/>
    </i>
    <i r="2">
      <x v="130"/>
    </i>
    <i r="2">
      <x v="135"/>
    </i>
    <i r="2">
      <x v="136"/>
    </i>
    <i r="2">
      <x v="140"/>
    </i>
    <i r="2">
      <x v="141"/>
    </i>
    <i r="1">
      <x v="18"/>
    </i>
    <i r="2">
      <x v="4"/>
    </i>
    <i r="2">
      <x v="5"/>
    </i>
    <i r="2">
      <x v="17"/>
    </i>
    <i r="2">
      <x v="23"/>
    </i>
    <i r="2">
      <x v="28"/>
    </i>
    <i r="2">
      <x v="29"/>
    </i>
    <i r="2">
      <x v="33"/>
    </i>
    <i r="2">
      <x v="61"/>
    </i>
    <i r="2">
      <x v="63"/>
    </i>
    <i r="2">
      <x v="68"/>
    </i>
    <i r="2">
      <x v="71"/>
    </i>
    <i r="2">
      <x v="72"/>
    </i>
    <i r="2">
      <x v="73"/>
    </i>
    <i r="2">
      <x v="80"/>
    </i>
    <i r="2">
      <x v="94"/>
    </i>
    <i r="2">
      <x v="105"/>
    </i>
    <i r="2">
      <x v="107"/>
    </i>
    <i r="2">
      <x v="112"/>
    </i>
    <i r="2">
      <x v="119"/>
    </i>
    <i r="2">
      <x v="120"/>
    </i>
    <i r="2">
      <x v="124"/>
    </i>
    <i r="2">
      <x v="139"/>
    </i>
    <i>
      <x v="3"/>
    </i>
    <i r="1">
      <x v="3"/>
    </i>
    <i r="2">
      <x v="27"/>
    </i>
    <i r="2">
      <x v="39"/>
    </i>
    <i r="2">
      <x v="118"/>
    </i>
    <i r="2">
      <x v="134"/>
    </i>
    <i r="1">
      <x v="19"/>
    </i>
    <i r="2">
      <x v="126"/>
    </i>
    <i>
      <x v="4"/>
    </i>
    <i r="1">
      <x/>
    </i>
    <i r="2">
      <x v="15"/>
    </i>
    <i r="2">
      <x v="52"/>
    </i>
    <i r="1">
      <x v="17"/>
    </i>
    <i r="2">
      <x v="70"/>
    </i>
    <i r="2">
      <x v="100"/>
    </i>
    <i>
      <x v="5"/>
    </i>
    <i r="1">
      <x v="1"/>
    </i>
    <i r="2">
      <x v="38"/>
    </i>
    <i r="1">
      <x v="10"/>
    </i>
    <i r="2">
      <x v="127"/>
    </i>
    <i r="1">
      <x v="23"/>
    </i>
    <i r="2">
      <x v="108"/>
    </i>
    <i>
      <x v="6"/>
    </i>
    <i r="1">
      <x v="4"/>
    </i>
    <i r="2">
      <x v="46"/>
    </i>
    <i r="2">
      <x v="110"/>
    </i>
    <i r="1">
      <x v="9"/>
    </i>
    <i r="2">
      <x v="116"/>
    </i>
    <i r="1">
      <x v="12"/>
    </i>
    <i r="2">
      <x v="41"/>
    </i>
    <i r="2">
      <x v="128"/>
    </i>
    <i>
      <x v="7"/>
    </i>
    <i r="1">
      <x v="8"/>
    </i>
    <i r="2">
      <x v="65"/>
    </i>
    <i r="1">
      <x v="13"/>
    </i>
    <i r="2">
      <x v="20"/>
    </i>
    <i r="1">
      <x v="20"/>
    </i>
    <i r="2">
      <x v="123"/>
    </i>
    <i t="grand">
      <x/>
    </i>
  </rowItems>
  <colFields count="1">
    <field x="-2"/>
  </colFields>
  <colItems count="3">
    <i>
      <x/>
    </i>
    <i i="1">
      <x v="1"/>
    </i>
    <i i="2">
      <x v="2"/>
    </i>
  </colItems>
  <dataFields count="3">
    <dataField name="Rendelés száma" fld="7" baseField="4" baseItem="0"/>
    <dataField name=" Rendelt mennyiség " fld="8" baseField="4" baseItem="0"/>
    <dataField name="Összes költés " fld="10" baseField="4" baseItem="0"/>
  </dataFields>
  <conditionalFormats count="2">
    <conditionalFormat priority="2">
      <pivotAreas count="4">
        <pivotArea type="data" collapsedLevelsAreSubtotals="1" fieldPosition="0">
          <references count="3">
            <reference field="4294967294" count="1" selected="0">
              <x v="2"/>
            </reference>
            <reference field="4" count="1" selected="0">
              <x v="0"/>
            </reference>
            <reference field="5" count="1">
              <x v="6"/>
            </reference>
          </references>
        </pivotArea>
        <pivotArea type="data" collapsedLevelsAreSubtotals="1" fieldPosition="0">
          <references count="4">
            <reference field="4294967294" count="1" selected="0">
              <x v="2"/>
            </reference>
            <reference field="1" count="1">
              <x v="9"/>
            </reference>
            <reference field="4" count="1" selected="0">
              <x v="0"/>
            </reference>
            <reference field="5" count="1" selected="0">
              <x v="6"/>
            </reference>
          </references>
        </pivotArea>
        <pivotArea type="data" collapsedLevelsAreSubtotals="1" fieldPosition="0">
          <references count="3">
            <reference field="4294967294" count="1" selected="0">
              <x v="2"/>
            </reference>
            <reference field="4" count="1" selected="0">
              <x v="0"/>
            </reference>
            <reference field="5" count="1">
              <x v="11"/>
            </reference>
          </references>
        </pivotArea>
        <pivotArea type="data" collapsedLevelsAreSubtotals="1" fieldPosition="0">
          <references count="4">
            <reference field="4294967294" count="1" selected="0">
              <x v="2"/>
            </reference>
            <reference field="1" count="2">
              <x v="49"/>
              <x v="89"/>
            </reference>
            <reference field="4" count="1" selected="0">
              <x v="0"/>
            </reference>
            <reference field="5" count="1" selected="0">
              <x v="11"/>
            </reference>
          </references>
        </pivotArea>
      </pivotAreas>
    </conditionalFormat>
    <conditionalFormat priority="1">
      <pivotAreas count="49">
        <pivotArea type="data" collapsedLevelsAreSubtotals="1" fieldPosition="0">
          <references count="3">
            <reference field="4294967294" count="1" selected="0">
              <x v="2"/>
            </reference>
            <reference field="4" count="1" selected="0">
              <x v="0"/>
            </reference>
            <reference field="5" count="1">
              <x v="6"/>
            </reference>
          </references>
        </pivotArea>
        <pivotArea type="data" collapsedLevelsAreSubtotals="1" fieldPosition="0">
          <references count="4">
            <reference field="4294967294" count="1" selected="0">
              <x v="2"/>
            </reference>
            <reference field="1" count="1">
              <x v="9"/>
            </reference>
            <reference field="4" count="1" selected="0">
              <x v="0"/>
            </reference>
            <reference field="5" count="1" selected="0">
              <x v="6"/>
            </reference>
          </references>
        </pivotArea>
        <pivotArea type="data" collapsedLevelsAreSubtotals="1" fieldPosition="0">
          <references count="3">
            <reference field="4294967294" count="1" selected="0">
              <x v="2"/>
            </reference>
            <reference field="4" count="1" selected="0">
              <x v="0"/>
            </reference>
            <reference field="5" count="1">
              <x v="11"/>
            </reference>
          </references>
        </pivotArea>
        <pivotArea type="data" collapsedLevelsAreSubtotals="1" fieldPosition="0">
          <references count="4">
            <reference field="4294967294" count="1" selected="0">
              <x v="2"/>
            </reference>
            <reference field="1" count="2">
              <x v="49"/>
              <x v="89"/>
            </reference>
            <reference field="4" count="1" selected="0">
              <x v="0"/>
            </reference>
            <reference field="5" count="1" selected="0">
              <x v="11"/>
            </reference>
          </references>
        </pivotArea>
        <pivotArea type="data" collapsedLevelsAreSubtotals="1" fieldPosition="0">
          <references count="3">
            <reference field="4294967294" count="1" selected="0">
              <x v="2"/>
            </reference>
            <reference field="4" count="1" selected="0">
              <x v="1"/>
            </reference>
            <reference field="5" count="1">
              <x v="16"/>
            </reference>
          </references>
        </pivotArea>
        <pivotArea type="data" collapsedLevelsAreSubtotals="1" fieldPosition="0">
          <references count="4">
            <reference field="4294967294" count="1" selected="0">
              <x v="2"/>
            </reference>
            <reference field="1" count="2">
              <x v="62"/>
              <x v="67"/>
            </reference>
            <reference field="4" count="1" selected="0">
              <x v="1"/>
            </reference>
            <reference field="5" count="1" selected="0">
              <x v="16"/>
            </reference>
          </references>
        </pivotArea>
        <pivotArea type="data" collapsedLevelsAreSubtotals="1" fieldPosition="0">
          <references count="3">
            <reference field="4294967294" count="1" selected="0">
              <x v="2"/>
            </reference>
            <reference field="4" count="1" selected="0">
              <x v="1"/>
            </reference>
            <reference field="5" count="1">
              <x v="21"/>
            </reference>
          </references>
        </pivotArea>
        <pivotArea type="data" collapsedLevelsAreSubtotals="1" fieldPosition="0">
          <references count="4">
            <reference field="4294967294" count="1" selected="0">
              <x v="2"/>
            </reference>
            <reference field="1" count="1">
              <x v="48"/>
            </reference>
            <reference field="4" count="1" selected="0">
              <x v="1"/>
            </reference>
            <reference field="5" count="1" selected="0">
              <x v="21"/>
            </reference>
          </references>
        </pivotArea>
        <pivotArea type="data" collapsedLevelsAreSubtotals="1" fieldPosition="0">
          <references count="3">
            <reference field="4294967294" count="1" selected="0">
              <x v="2"/>
            </reference>
            <reference field="4" count="1" selected="0">
              <x v="1"/>
            </reference>
            <reference field="5" count="1">
              <x v="22"/>
            </reference>
          </references>
        </pivotArea>
        <pivotArea type="data" collapsedLevelsAreSubtotals="1" fieldPosition="0">
          <references count="4">
            <reference field="4294967294" count="1" selected="0">
              <x v="2"/>
            </reference>
            <reference field="1" count="2">
              <x v="6"/>
              <x v="131"/>
            </reference>
            <reference field="4" count="1" selected="0">
              <x v="1"/>
            </reference>
            <reference field="5" count="1" selected="0">
              <x v="22"/>
            </reference>
          </references>
        </pivotArea>
        <pivotArea type="data" collapsedLevelsAreSubtotals="1" fieldPosition="0">
          <references count="3">
            <reference field="4294967294" count="1" selected="0">
              <x v="2"/>
            </reference>
            <reference field="4" count="1" selected="0">
              <x v="2"/>
            </reference>
            <reference field="5" count="1">
              <x v="2"/>
            </reference>
          </references>
        </pivotArea>
        <pivotArea type="data" collapsedLevelsAreSubtotals="1" fieldPosition="0">
          <references count="4">
            <reference field="4294967294" count="1" selected="0">
              <x v="2"/>
            </reference>
            <reference field="1" count="15">
              <x v="0"/>
              <x v="13"/>
              <x v="14"/>
              <x v="19"/>
              <x v="22"/>
              <x v="30"/>
              <x v="36"/>
              <x v="44"/>
              <x v="50"/>
              <x v="53"/>
              <x v="59"/>
              <x v="85"/>
              <x v="86"/>
              <x v="121"/>
              <x v="122"/>
            </reference>
            <reference field="4" count="1" selected="0">
              <x v="2"/>
            </reference>
            <reference field="5" count="1" selected="0">
              <x v="2"/>
            </reference>
          </references>
        </pivotArea>
        <pivotArea type="data" collapsedLevelsAreSubtotals="1" fieldPosition="0">
          <references count="3">
            <reference field="4294967294" count="1" selected="0">
              <x v="2"/>
            </reference>
            <reference field="4" count="1" selected="0">
              <x v="2"/>
            </reference>
            <reference field="5" count="1">
              <x v="5"/>
            </reference>
          </references>
        </pivotArea>
        <pivotArea type="data" collapsedLevelsAreSubtotals="1" fieldPosition="0">
          <references count="4">
            <reference field="4294967294" count="1" selected="0">
              <x v="2"/>
            </reference>
            <reference field="1" count="22">
              <x v="3"/>
              <x v="11"/>
              <x v="25"/>
              <x v="26"/>
              <x v="31"/>
              <x v="34"/>
              <x v="37"/>
              <x v="40"/>
              <x v="43"/>
              <x v="58"/>
              <x v="66"/>
              <x v="75"/>
              <x v="79"/>
              <x v="88"/>
              <x v="96"/>
              <x v="99"/>
              <x v="101"/>
              <x v="111"/>
              <x v="113"/>
              <x v="115"/>
              <x v="117"/>
              <x v="138"/>
            </reference>
            <reference field="4" count="1" selected="0">
              <x v="2"/>
            </reference>
            <reference field="5" count="1" selected="0">
              <x v="5"/>
            </reference>
          </references>
        </pivotArea>
        <pivotArea type="data" collapsedLevelsAreSubtotals="1" fieldPosition="0">
          <references count="3">
            <reference field="4294967294" count="1" selected="0">
              <x v="2"/>
            </reference>
            <reference field="4" count="1" selected="0">
              <x v="2"/>
            </reference>
            <reference field="5" count="1">
              <x v="7"/>
            </reference>
          </references>
        </pivotArea>
        <pivotArea type="data" collapsedLevelsAreSubtotals="1" fieldPosition="0">
          <references count="4">
            <reference field="4294967294" count="1" selected="0">
              <x v="2"/>
            </reference>
            <reference field="1" count="15">
              <x v="10"/>
              <x v="12"/>
              <x v="35"/>
              <x v="51"/>
              <x v="54"/>
              <x v="56"/>
              <x v="60"/>
              <x v="64"/>
              <x v="81"/>
              <x v="84"/>
              <x v="98"/>
              <x v="106"/>
              <x v="114"/>
              <x v="132"/>
              <x v="133"/>
            </reference>
            <reference field="4" count="1" selected="0">
              <x v="2"/>
            </reference>
            <reference field="5" count="1" selected="0">
              <x v="7"/>
            </reference>
          </references>
        </pivotArea>
        <pivotArea type="data" collapsedLevelsAreSubtotals="1" fieldPosition="0">
          <references count="3">
            <reference field="4294967294" count="1" selected="0">
              <x v="2"/>
            </reference>
            <reference field="4" count="1" selected="0">
              <x v="2"/>
            </reference>
            <reference field="5" count="1">
              <x v="14"/>
            </reference>
          </references>
        </pivotArea>
        <pivotArea type="data" collapsedLevelsAreSubtotals="1" fieldPosition="0">
          <references count="4">
            <reference field="4294967294" count="1" selected="0">
              <x v="2"/>
            </reference>
            <reference field="1" count="16">
              <x v="1"/>
              <x v="2"/>
              <x v="7"/>
              <x v="21"/>
              <x v="42"/>
              <x v="47"/>
              <x v="57"/>
              <x v="69"/>
              <x v="78"/>
              <x v="82"/>
              <x v="91"/>
              <x v="95"/>
              <x v="97"/>
              <x v="103"/>
              <x v="125"/>
              <x v="137"/>
            </reference>
            <reference field="4" count="1" selected="0">
              <x v="2"/>
            </reference>
            <reference field="5" count="1" selected="0">
              <x v="14"/>
            </reference>
          </references>
        </pivotArea>
        <pivotArea type="data" collapsedLevelsAreSubtotals="1" fieldPosition="0">
          <references count="3">
            <reference field="4294967294" count="1" selected="0">
              <x v="2"/>
            </reference>
            <reference field="4" count="1" selected="0">
              <x v="2"/>
            </reference>
            <reference field="5" count="1">
              <x v="15"/>
            </reference>
          </references>
        </pivotArea>
        <pivotArea type="data" collapsedLevelsAreSubtotals="1" fieldPosition="0">
          <references count="4">
            <reference field="4294967294" count="1" selected="0">
              <x v="2"/>
            </reference>
            <reference field="1" count="24">
              <x v="8"/>
              <x v="16"/>
              <x v="18"/>
              <x v="24"/>
              <x v="32"/>
              <x v="45"/>
              <x v="55"/>
              <x v="74"/>
              <x v="76"/>
              <x v="77"/>
              <x v="83"/>
              <x v="87"/>
              <x v="90"/>
              <x v="92"/>
              <x v="93"/>
              <x v="102"/>
              <x v="104"/>
              <x v="109"/>
              <x v="129"/>
              <x v="130"/>
              <x v="135"/>
              <x v="136"/>
              <x v="140"/>
              <x v="141"/>
            </reference>
            <reference field="4" count="1" selected="0">
              <x v="2"/>
            </reference>
            <reference field="5" count="1" selected="0">
              <x v="15"/>
            </reference>
          </references>
        </pivotArea>
        <pivotArea type="data" collapsedLevelsAreSubtotals="1" fieldPosition="0">
          <references count="3">
            <reference field="4294967294" count="1" selected="0">
              <x v="2"/>
            </reference>
            <reference field="4" count="1" selected="0">
              <x v="2"/>
            </reference>
            <reference field="5" count="1">
              <x v="18"/>
            </reference>
          </references>
        </pivotArea>
        <pivotArea type="data" collapsedLevelsAreSubtotals="1" fieldPosition="0">
          <references count="4">
            <reference field="4294967294" count="1" selected="0">
              <x v="2"/>
            </reference>
            <reference field="1" count="22">
              <x v="4"/>
              <x v="5"/>
              <x v="17"/>
              <x v="23"/>
              <x v="28"/>
              <x v="29"/>
              <x v="33"/>
              <x v="61"/>
              <x v="63"/>
              <x v="68"/>
              <x v="71"/>
              <x v="72"/>
              <x v="73"/>
              <x v="80"/>
              <x v="94"/>
              <x v="105"/>
              <x v="107"/>
              <x v="112"/>
              <x v="119"/>
              <x v="120"/>
              <x v="124"/>
              <x v="139"/>
            </reference>
            <reference field="4" count="1" selected="0">
              <x v="2"/>
            </reference>
            <reference field="5" count="1" selected="0">
              <x v="18"/>
            </reference>
          </references>
        </pivotArea>
        <pivotArea type="data" collapsedLevelsAreSubtotals="1" fieldPosition="0">
          <references count="2">
            <reference field="4294967294" count="1" selected="0">
              <x v="2"/>
            </reference>
            <reference field="4" count="1">
              <x v="3"/>
            </reference>
          </references>
        </pivotArea>
        <pivotArea type="data" collapsedLevelsAreSubtotals="1" fieldPosition="0">
          <references count="3">
            <reference field="4294967294" count="1" selected="0">
              <x v="2"/>
            </reference>
            <reference field="4" count="1" selected="0">
              <x v="3"/>
            </reference>
            <reference field="5" count="1">
              <x v="3"/>
            </reference>
          </references>
        </pivotArea>
        <pivotArea type="data" collapsedLevelsAreSubtotals="1" fieldPosition="0">
          <references count="4">
            <reference field="4294967294" count="1" selected="0">
              <x v="2"/>
            </reference>
            <reference field="1" count="4">
              <x v="27"/>
              <x v="39"/>
              <x v="118"/>
              <x v="134"/>
            </reference>
            <reference field="4" count="1" selected="0">
              <x v="3"/>
            </reference>
            <reference field="5" count="1" selected="0">
              <x v="3"/>
            </reference>
          </references>
        </pivotArea>
        <pivotArea type="data" collapsedLevelsAreSubtotals="1" fieldPosition="0">
          <references count="3">
            <reference field="4294967294" count="1" selected="0">
              <x v="2"/>
            </reference>
            <reference field="4" count="1" selected="0">
              <x v="3"/>
            </reference>
            <reference field="5" count="1">
              <x v="19"/>
            </reference>
          </references>
        </pivotArea>
        <pivotArea type="data" collapsedLevelsAreSubtotals="1" fieldPosition="0">
          <references count="4">
            <reference field="4294967294" count="1" selected="0">
              <x v="2"/>
            </reference>
            <reference field="1" count="1">
              <x v="126"/>
            </reference>
            <reference field="4" count="1" selected="0">
              <x v="3"/>
            </reference>
            <reference field="5" count="1" selected="0">
              <x v="19"/>
            </reference>
          </references>
        </pivotArea>
        <pivotArea type="data" collapsedLevelsAreSubtotals="1" fieldPosition="0">
          <references count="3">
            <reference field="4294967294" count="1" selected="0">
              <x v="2"/>
            </reference>
            <reference field="4" count="1" selected="0">
              <x v="4"/>
            </reference>
            <reference field="5" count="1">
              <x v="0"/>
            </reference>
          </references>
        </pivotArea>
        <pivotArea type="data" collapsedLevelsAreSubtotals="1" fieldPosition="0">
          <references count="4">
            <reference field="4294967294" count="1" selected="0">
              <x v="2"/>
            </reference>
            <reference field="1" count="2">
              <x v="15"/>
              <x v="52"/>
            </reference>
            <reference field="4" count="1" selected="0">
              <x v="4"/>
            </reference>
            <reference field="5" count="1" selected="0">
              <x v="0"/>
            </reference>
          </references>
        </pivotArea>
        <pivotArea type="data" collapsedLevelsAreSubtotals="1" fieldPosition="0">
          <references count="3">
            <reference field="4294967294" count="1" selected="0">
              <x v="2"/>
            </reference>
            <reference field="4" count="1" selected="0">
              <x v="4"/>
            </reference>
            <reference field="5" count="1">
              <x v="17"/>
            </reference>
          </references>
        </pivotArea>
        <pivotArea type="data" collapsedLevelsAreSubtotals="1" fieldPosition="0">
          <references count="4">
            <reference field="4294967294" count="1" selected="0">
              <x v="2"/>
            </reference>
            <reference field="1" count="2">
              <x v="70"/>
              <x v="100"/>
            </reference>
            <reference field="4" count="1" selected="0">
              <x v="4"/>
            </reference>
            <reference field="5" count="1" selected="0">
              <x v="17"/>
            </reference>
          </references>
        </pivotArea>
        <pivotArea type="data" collapsedLevelsAreSubtotals="1" fieldPosition="0">
          <references count="3">
            <reference field="4294967294" count="1" selected="0">
              <x v="2"/>
            </reference>
            <reference field="4" count="1" selected="0">
              <x v="5"/>
            </reference>
            <reference field="5" count="1">
              <x v="1"/>
            </reference>
          </references>
        </pivotArea>
        <pivotArea type="data" collapsedLevelsAreSubtotals="1" fieldPosition="0">
          <references count="4">
            <reference field="4294967294" count="1" selected="0">
              <x v="2"/>
            </reference>
            <reference field="1" count="1">
              <x v="38"/>
            </reference>
            <reference field="4" count="1" selected="0">
              <x v="5"/>
            </reference>
            <reference field="5" count="1" selected="0">
              <x v="1"/>
            </reference>
          </references>
        </pivotArea>
        <pivotArea type="data" collapsedLevelsAreSubtotals="1" fieldPosition="0">
          <references count="3">
            <reference field="4294967294" count="1" selected="0">
              <x v="2"/>
            </reference>
            <reference field="4" count="1" selected="0">
              <x v="5"/>
            </reference>
            <reference field="5" count="1">
              <x v="10"/>
            </reference>
          </references>
        </pivotArea>
        <pivotArea type="data" collapsedLevelsAreSubtotals="1" fieldPosition="0">
          <references count="4">
            <reference field="4294967294" count="1" selected="0">
              <x v="2"/>
            </reference>
            <reference field="1" count="1">
              <x v="127"/>
            </reference>
            <reference field="4" count="1" selected="0">
              <x v="5"/>
            </reference>
            <reference field="5" count="1" selected="0">
              <x v="10"/>
            </reference>
          </references>
        </pivotArea>
        <pivotArea type="data" collapsedLevelsAreSubtotals="1" fieldPosition="0">
          <references count="3">
            <reference field="4294967294" count="1" selected="0">
              <x v="2"/>
            </reference>
            <reference field="4" count="1" selected="0">
              <x v="5"/>
            </reference>
            <reference field="5" count="1">
              <x v="23"/>
            </reference>
          </references>
        </pivotArea>
        <pivotArea type="data" collapsedLevelsAreSubtotals="1" fieldPosition="0">
          <references count="4">
            <reference field="4294967294" count="1" selected="0">
              <x v="2"/>
            </reference>
            <reference field="1" count="1">
              <x v="108"/>
            </reference>
            <reference field="4" count="1" selected="0">
              <x v="5"/>
            </reference>
            <reference field="5" count="1" selected="0">
              <x v="23"/>
            </reference>
          </references>
        </pivotArea>
        <pivotArea type="data" collapsedLevelsAreSubtotals="1" fieldPosition="0">
          <references count="3">
            <reference field="4294967294" count="1" selected="0">
              <x v="2"/>
            </reference>
            <reference field="4" count="1" selected="0">
              <x v="6"/>
            </reference>
            <reference field="5" count="1">
              <x v="4"/>
            </reference>
          </references>
        </pivotArea>
        <pivotArea type="data" collapsedLevelsAreSubtotals="1" fieldPosition="0">
          <references count="4">
            <reference field="4294967294" count="1" selected="0">
              <x v="2"/>
            </reference>
            <reference field="1" count="2">
              <x v="46"/>
              <x v="110"/>
            </reference>
            <reference field="4" count="1" selected="0">
              <x v="6"/>
            </reference>
            <reference field="5" count="1" selected="0">
              <x v="4"/>
            </reference>
          </references>
        </pivotArea>
        <pivotArea type="data" collapsedLevelsAreSubtotals="1" fieldPosition="0">
          <references count="3">
            <reference field="4294967294" count="1" selected="0">
              <x v="2"/>
            </reference>
            <reference field="4" count="1" selected="0">
              <x v="6"/>
            </reference>
            <reference field="5" count="1">
              <x v="9"/>
            </reference>
          </references>
        </pivotArea>
        <pivotArea type="data" collapsedLevelsAreSubtotals="1" fieldPosition="0">
          <references count="4">
            <reference field="4294967294" count="1" selected="0">
              <x v="2"/>
            </reference>
            <reference field="1" count="1">
              <x v="116"/>
            </reference>
            <reference field="4" count="1" selected="0">
              <x v="6"/>
            </reference>
            <reference field="5" count="1" selected="0">
              <x v="9"/>
            </reference>
          </references>
        </pivotArea>
        <pivotArea type="data" collapsedLevelsAreSubtotals="1" fieldPosition="0">
          <references count="3">
            <reference field="4294967294" count="1" selected="0">
              <x v="2"/>
            </reference>
            <reference field="4" count="1" selected="0">
              <x v="6"/>
            </reference>
            <reference field="5" count="1">
              <x v="12"/>
            </reference>
          </references>
        </pivotArea>
        <pivotArea type="data" collapsedLevelsAreSubtotals="1" fieldPosition="0">
          <references count="4">
            <reference field="4294967294" count="1" selected="0">
              <x v="2"/>
            </reference>
            <reference field="1" count="2">
              <x v="41"/>
              <x v="128"/>
            </reference>
            <reference field="4" count="1" selected="0">
              <x v="6"/>
            </reference>
            <reference field="5" count="1" selected="0">
              <x v="12"/>
            </reference>
          </references>
        </pivotArea>
        <pivotArea type="data" collapsedLevelsAreSubtotals="1" fieldPosition="0">
          <references count="3">
            <reference field="4294967294" count="1" selected="0">
              <x v="2"/>
            </reference>
            <reference field="4" count="1" selected="0">
              <x v="7"/>
            </reference>
            <reference field="5" count="1">
              <x v="8"/>
            </reference>
          </references>
        </pivotArea>
        <pivotArea type="data" collapsedLevelsAreSubtotals="1" fieldPosition="0">
          <references count="4">
            <reference field="4294967294" count="1" selected="0">
              <x v="2"/>
            </reference>
            <reference field="1" count="1">
              <x v="65"/>
            </reference>
            <reference field="4" count="1" selected="0">
              <x v="7"/>
            </reference>
            <reference field="5" count="1" selected="0">
              <x v="8"/>
            </reference>
          </references>
        </pivotArea>
        <pivotArea type="data" collapsedLevelsAreSubtotals="1" fieldPosition="0">
          <references count="3">
            <reference field="4294967294" count="1" selected="0">
              <x v="2"/>
            </reference>
            <reference field="4" count="1" selected="0">
              <x v="7"/>
            </reference>
            <reference field="5" count="1">
              <x v="13"/>
            </reference>
          </references>
        </pivotArea>
        <pivotArea type="data" collapsedLevelsAreSubtotals="1" fieldPosition="0">
          <references count="4">
            <reference field="4294967294" count="1" selected="0">
              <x v="2"/>
            </reference>
            <reference field="1" count="1">
              <x v="20"/>
            </reference>
            <reference field="4" count="1" selected="0">
              <x v="7"/>
            </reference>
            <reference field="5" count="1" selected="0">
              <x v="13"/>
            </reference>
          </references>
        </pivotArea>
        <pivotArea type="data" collapsedLevelsAreSubtotals="1" fieldPosition="0">
          <references count="3">
            <reference field="4294967294" count="1" selected="0">
              <x v="2"/>
            </reference>
            <reference field="4" count="1" selected="0">
              <x v="7"/>
            </reference>
            <reference field="5" count="1">
              <x v="20"/>
            </reference>
          </references>
        </pivotArea>
        <pivotArea type="data" collapsedLevelsAreSubtotals="1" fieldPosition="0">
          <references count="4">
            <reference field="4294967294" count="1" selected="0">
              <x v="2"/>
            </reference>
            <reference field="1" count="1">
              <x v="123"/>
            </reference>
            <reference field="4" count="1" selected="0">
              <x v="7"/>
            </reference>
            <reference field="5" count="1" selected="0">
              <x v="20"/>
            </reference>
          </references>
        </pivotArea>
      </pivotAreas>
    </conditionalFormat>
  </conditional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Állapot" xr10:uid="{05FFAB65-1797-4705-9F06-3C9BD90481D7}" sourceName="Állapot">
  <pivotTables>
    <pivotTable tabId="10" name="Rendelések Pivot"/>
  </pivotTables>
  <data>
    <tabular pivotCacheId="14719279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ék" xr10:uid="{A77F188D-C059-48AF-BDFC-EE033B02C4FC}" sourceName="Termék">
  <pivotTables>
    <pivotTable tabId="10" name="Rendelések Pivot"/>
  </pivotTables>
  <data>
    <tabular pivotCacheId="147192794">
      <items count="22">
        <i x="2" s="1"/>
        <i x="19" s="1"/>
        <i x="1" s="1"/>
        <i x="8" s="1"/>
        <i x="0" s="1"/>
        <i x="21" s="1"/>
        <i x="14" s="1"/>
        <i x="17" s="1"/>
        <i x="9" s="1"/>
        <i x="13" s="1"/>
        <i x="16" s="1"/>
        <i x="18" s="1"/>
        <i x="5" s="1"/>
        <i x="12" s="1"/>
        <i x="4" s="1"/>
        <i x="10" s="1"/>
        <i x="15" s="1"/>
        <i x="20" s="1"/>
        <i x="3" s="1"/>
        <i x="7" s="1"/>
        <i x="1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Ügyfél_típusa" xr10:uid="{BE93083B-88CF-4366-A1DB-441495C6D82C}" sourceName="Ügyfél típusa">
  <pivotTables>
    <pivotTable tabId="12" name="PivotTable1"/>
    <pivotTable tabId="12" name="PivotTable3"/>
    <pivotTable tabId="12" name="PivotTable4"/>
    <pivotTable tabId="12" name="PivotTable2"/>
  </pivotTables>
  <data>
    <tabular pivotCacheId="87427855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szág" xr10:uid="{135ADD94-87DD-4888-8C60-FDDC3F86246A}" sourceName="Ország">
  <pivotTables>
    <pivotTable tabId="12" name="PivotTable3"/>
    <pivotTable tabId="12" name="PivotTable1"/>
    <pivotTable tabId="12" name="PivotTable2"/>
    <pivotTable tabId="12" name="PivotTable4"/>
  </pivotTables>
  <data>
    <tabular pivotCacheId="874278552">
      <items count="8">
        <i x="5" s="1"/>
        <i x="7" s="1"/>
        <i x="0" s="1"/>
        <i x="2" s="1"/>
        <i x="4" s="1"/>
        <i x="1" s="1"/>
        <i x="6"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szág1" xr10:uid="{E4B8BC4C-39AE-4C05-9EA5-8CA57303B367}" sourceName="Ország">
  <pivotTables>
    <pivotTable tabId="14" name="PivotTable1"/>
  </pivotTables>
  <data>
    <tabular pivotCacheId="874278552">
      <items count="8">
        <i x="5" s="1"/>
        <i x="7" s="1"/>
        <i x="0" s="1"/>
        <i x="2" s="1"/>
        <i x="4" s="1"/>
        <i x="1" s="1"/>
        <i x="6"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áros" xr10:uid="{89DA931C-38A1-4F30-8945-743BBD452E30}" sourceName="Város">
  <pivotTables>
    <pivotTable tabId="14" name="PivotTable1"/>
  </pivotTables>
  <data>
    <tabular pivotCacheId="874278552">
      <items count="24">
        <i x="11" s="1"/>
        <i x="1" s="1"/>
        <i x="7" s="1"/>
        <i x="3" s="1"/>
        <i x="20" s="1"/>
        <i x="4" s="1"/>
        <i x="19" s="1"/>
        <i x="9" s="1"/>
        <i x="18" s="1"/>
        <i x="13" s="1"/>
        <i x="6" s="1"/>
        <i x="12" s="1"/>
        <i x="22" s="1"/>
        <i x="15" s="1"/>
        <i x="2" s="1"/>
        <i x="5" s="1"/>
        <i x="16" s="1"/>
        <i x="17" s="1"/>
        <i x="0" s="1"/>
        <i x="23" s="1"/>
        <i x="8" s="1"/>
        <i x="21" s="1"/>
        <i x="14" s="1"/>
        <i x="1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Ügyfél_típusa1" xr10:uid="{32A74538-A252-4F36-B3EE-7B27287A401E}" sourceName="Ügyfél típusa">
  <pivotTables>
    <pivotTable tabId="14" name="PivotTable1"/>
  </pivotTables>
  <data>
    <tabular pivotCacheId="874278552">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árka" xr10:uid="{BF14F6BB-6CB2-4489-927C-FC15755A473D}" sourceName="Márka">
  <pivotTables>
    <pivotTable tabId="10" name="Rendelések Pivot"/>
  </pivotTables>
  <data>
    <tabular pivotCacheId="147192794">
      <items count="7">
        <i x="1" s="1"/>
        <i x="0" s="1"/>
        <i x="6" s="1"/>
        <i x="4" s="1"/>
        <i x="5" s="1"/>
        <i x="3"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éret" xr10:uid="{24E04747-48AD-44DB-B513-D4C0FFA611CC}" sourceName="Méret">
  <pivotTables>
    <pivotTable tabId="10" name="Rendelések Pivot"/>
  </pivotTables>
  <data>
    <tabular pivotCacheId="147192794">
      <items count="3">
        <i x="2" s="1"/>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ék1" xr10:uid="{D51F06CC-BDFB-4EBF-968F-FAB16AAD20B0}" sourceName="Termék">
  <pivotTables>
    <pivotTable tabId="16" name="PivotTable10"/>
    <pivotTable tabId="12" name="PivotTable13"/>
    <pivotTable tabId="12" name="PivotTable14"/>
    <pivotTable tabId="12" name="PivotTable6"/>
    <pivotTable tabId="12" name="PivotTable7"/>
    <pivotTable tabId="12" name="PivotTable8"/>
    <pivotTable tabId="12" name="PivotTable9"/>
    <pivotTable tabId="16" name="PivotTable11"/>
    <pivotTable tabId="16" name="PivotTable13"/>
    <pivotTable tabId="16" name="PivotTable14"/>
    <pivotTable tabId="16" name="PivotTable15"/>
    <pivotTable tabId="16" name="PivotTable16"/>
  </pivotTables>
  <data>
    <tabular pivotCacheId="147192794">
      <items count="22">
        <i x="2" s="1"/>
        <i x="19" s="1"/>
        <i x="1" s="1"/>
        <i x="8" s="1"/>
        <i x="0" s="1"/>
        <i x="21" s="1"/>
        <i x="14" s="1"/>
        <i x="17" s="1"/>
        <i x="9" s="1"/>
        <i x="13" s="1"/>
        <i x="16" s="1"/>
        <i x="18" s="1"/>
        <i x="5" s="1"/>
        <i x="12" s="1"/>
        <i x="4" s="1"/>
        <i x="10" s="1"/>
        <i x="15" s="1"/>
        <i x="20" s="1"/>
        <i x="3" s="1"/>
        <i x="7" s="1"/>
        <i x="11" s="1"/>
        <i x="6"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Állapot1" xr10:uid="{CC04A78B-D10F-4F17-8D12-9ACA3811F549}" sourceName="Állapot">
  <pivotTables>
    <pivotTable tabId="16" name="PivotTable10"/>
  </pivotTables>
  <data>
    <tabular pivotCacheId="147192794">
      <items count="2">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árka1" xr10:uid="{A682D517-799F-479D-BA61-106157499278}" sourceName="Márka">
  <pivotTables>
    <pivotTable tabId="16" name="PivotTable10"/>
  </pivotTables>
  <data>
    <tabular pivotCacheId="147192794">
      <items count="7">
        <i x="1" s="1"/>
        <i x="0" s="1"/>
        <i x="6" s="1"/>
        <i x="4" s="1"/>
        <i x="5" s="1"/>
        <i x="3"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éret1" xr10:uid="{26380C34-8313-4D2B-9F7F-E695BF715087}" sourceName="Méret">
  <pivotTables>
    <pivotTable tabId="16" name="PivotTable10"/>
  </pivotTables>
  <data>
    <tabular pivotCacheId="14719279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Állapot" xr10:uid="{4CC76BA4-3940-45BB-A316-3AA9AD02A8C5}" cache="Slicer_Állapot" caption="Állapot" style="SlicerStyleLight5" rowHeight="234950"/>
  <slicer name="Termék" xr10:uid="{3763E024-77BD-4BE1-BB5C-E016274FBF2B}" cache="Slicer_Termék" caption="Termék" style="SlicerStyleLight5" rowHeight="234950"/>
  <slicer name="Márka" xr10:uid="{A7CED86A-7F37-49C4-ABE0-802DC381C213}" cache="Slicer_Márka" caption="Márka" style="SlicerStyleLight5" rowHeight="234950"/>
  <slicer name="Méret" xr10:uid="{71E327C3-C4B3-4C8B-A6EA-D163380A421E}" cache="Slicer_Méret" caption="Méret"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mék 1" xr10:uid="{57EFDAAB-CB41-4FF0-96D2-C2A9C147D3EE}" cache="Slicer_Termék1" caption="Termék" style="SlicerStyleLight4" rowHeight="234950"/>
  <slicer name="Állapot 1" xr10:uid="{263F0177-8306-4B17-AE77-13CD53FC625E}" cache="Slicer_Állapot1" caption="Állapot" style="SlicerStyleLight4" rowHeight="234950"/>
  <slicer name="Márka 1" xr10:uid="{DD96A101-65EF-448B-B666-EE1133B2301E}" cache="Slicer_Márka1" caption="Márka" style="SlicerStyleLight4" rowHeight="234950"/>
  <slicer name="Méret 1" xr10:uid="{3F884DA5-FC8C-4112-9D5D-731B2422DE5F}" cache="Slicer_Méret1" caption="Méret" style="SlicerStyleLigh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szág 2" xr10:uid="{26C86FAE-C8ED-47F0-862D-2D8F160F9017}" cache="Slicer_Ország1" caption="Ország" style="SlicerStyleLight2" rowHeight="234950"/>
  <slicer name="Város 1" xr10:uid="{D07184A3-846A-43E0-83B0-9F455C4B6236}" cache="Slicer_Város" caption="Város" columnCount="3" style="SlicerStyleLight2" rowHeight="234950"/>
  <slicer name="Ügyfél típusa" xr10:uid="{77EAA2A3-C0C8-41F4-9E23-F36369DED986}" cache="Slicer_Ügyfél_típusa1" caption="Ügyfél típusa" style="SlicerStyleLight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Ügyfél típusa 1" xr10:uid="{CF98843A-E0B4-438E-9BCA-C3C7C799719C}" cache="Slicer_Ügyfél_típusa" caption="Ügyfél típusa" style="SlicerStyleLight6" rowHeight="234950"/>
  <slicer name="Ország" xr10:uid="{C92FC24F-186B-42ED-BA49-66D87A21EBA0}" cache="Slicer_Ország" caption="Ország" columnCount="2"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ndelés_Dátuma" xr10:uid="{44940161-F589-4B85-A323-0244065B12FA}" sourceName="Rendelés Dátuma">
  <pivotTables>
    <pivotTable tabId="10" name="Rendelések Pivot"/>
  </pivotTables>
  <state minimalRefreshVersion="6" lastRefreshVersion="6" pivotCacheId="147192794" filterType="dateBetween">
    <selection startDate="2025-01-01T00:00:00" endDate="2025-01-30T00:00:00"/>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ndelés_Dátuma1" xr10:uid="{C030AB57-F191-480F-BD88-DBA0AB8ADB17}" sourceName="Rendelés Dátuma">
  <pivotTables>
    <pivotTable tabId="16" name="PivotTable16"/>
    <pivotTable tabId="12" name="PivotTable13"/>
    <pivotTable tabId="12" name="PivotTable14"/>
    <pivotTable tabId="12" name="PivotTable6"/>
    <pivotTable tabId="12" name="PivotTable7"/>
    <pivotTable tabId="12" name="PivotTable8"/>
    <pivotTable tabId="12" name="PivotTable9"/>
    <pivotTable tabId="16" name="PivotTable10"/>
    <pivotTable tabId="16" name="PivotTable11"/>
    <pivotTable tabId="16" name="PivotTable13"/>
    <pivotTable tabId="16" name="PivotTable14"/>
    <pivotTable tabId="16" name="PivotTable15"/>
  </pivotTables>
  <state minimalRefreshVersion="6" lastRefreshVersion="6" pivotCacheId="147192794" filterType="dateBetween">
    <selection startDate="2025-01-23T00:00:00" endDate="2025-01-25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ndelés Dátuma" xr10:uid="{EDA6D962-0566-4AAB-899D-F39D9A13CA13}" cache="NativeTimeline_Rendelés_Dátuma" caption="Rendelés Dátuma" level="3" selectionLevel="3" scrollPosition="2025-01-10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ndelés Dátuma 1" xr10:uid="{EE3C838C-C227-46B2-AC6F-CA9A45A7A8BC}" cache="NativeTimeline_Rendelés_Dátuma1" caption="Rendelés Dátuma" level="3" selectionLevel="3" scrollPosition="2025-01-01T00:00:00" style="TimeSlicerStyleLight4"/>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4.xml"/><Relationship Id="rId7" Type="http://schemas.openxmlformats.org/officeDocument/2006/relationships/drawing" Target="../drawings/drawing2.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 Id="rId9" Type="http://schemas.microsoft.com/office/2011/relationships/timeline" Target="../timelines/timelin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6864D-9F7E-47A2-B893-71AC6BA549A3}">
  <dimension ref="A1:W49"/>
  <sheetViews>
    <sheetView topLeftCell="F1" workbookViewId="0">
      <selection activeCell="N4" sqref="N4"/>
    </sheetView>
  </sheetViews>
  <sheetFormatPr defaultRowHeight="14.4"/>
  <cols>
    <col min="1" max="1" width="13.77734375" bestFit="1" customWidth="1"/>
    <col min="2" max="2" width="12.5546875" style="9" bestFit="1" customWidth="1"/>
    <col min="3" max="3" width="12.21875" style="1" bestFit="1" customWidth="1"/>
    <col min="4" max="4" width="12.5546875" style="10" bestFit="1" customWidth="1"/>
    <col min="5" max="5" width="12.21875" bestFit="1" customWidth="1"/>
    <col min="6" max="8" width="12.5546875" bestFit="1" customWidth="1"/>
    <col min="9" max="9" width="23.77734375" bestFit="1" customWidth="1"/>
    <col min="10" max="10" width="12.5546875" bestFit="1" customWidth="1"/>
    <col min="11" max="12" width="18.5546875" bestFit="1" customWidth="1"/>
    <col min="13" max="13" width="12.5546875" bestFit="1" customWidth="1"/>
    <col min="14" max="14" width="18.5546875" bestFit="1" customWidth="1"/>
    <col min="16" max="16" width="19.44140625" bestFit="1" customWidth="1"/>
    <col min="17" max="17" width="12.109375" bestFit="1" customWidth="1"/>
    <col min="19" max="19" width="19.44140625" bestFit="1" customWidth="1"/>
    <col min="20" max="20" width="16.77734375" bestFit="1" customWidth="1"/>
    <col min="22" max="22" width="19.44140625" bestFit="1" customWidth="1"/>
    <col min="23" max="23" width="18.5546875" bestFit="1" customWidth="1"/>
    <col min="25" max="25" width="21.88671875" bestFit="1" customWidth="1"/>
    <col min="26" max="26" width="27.88671875" bestFit="1" customWidth="1"/>
    <col min="27" max="27" width="20.109375" bestFit="1" customWidth="1"/>
    <col min="28" max="28" width="23.44140625" bestFit="1" customWidth="1"/>
    <col min="29" max="29" width="20.33203125" bestFit="1" customWidth="1"/>
    <col min="30" max="30" width="22.6640625" bestFit="1" customWidth="1"/>
  </cols>
  <sheetData>
    <row r="1" spans="1:23">
      <c r="A1" s="6" t="s">
        <v>0</v>
      </c>
      <c r="B1" t="s">
        <v>1</v>
      </c>
      <c r="D1" s="6" t="s">
        <v>0</v>
      </c>
      <c r="E1" t="s">
        <v>1</v>
      </c>
      <c r="G1" s="6" t="s">
        <v>0</v>
      </c>
      <c r="H1" t="s">
        <v>1</v>
      </c>
    </row>
    <row r="2" spans="1:23">
      <c r="A2" s="7" t="s">
        <v>106</v>
      </c>
      <c r="B2" s="40">
        <v>501663</v>
      </c>
      <c r="C2"/>
      <c r="D2" s="7" t="s">
        <v>3</v>
      </c>
      <c r="E2" s="40">
        <v>16779824</v>
      </c>
      <c r="G2" s="7" t="s">
        <v>324</v>
      </c>
      <c r="H2" s="40">
        <v>656680</v>
      </c>
    </row>
    <row r="3" spans="1:23">
      <c r="A3" s="7" t="s">
        <v>79</v>
      </c>
      <c r="B3" s="40">
        <v>509187</v>
      </c>
      <c r="C3"/>
      <c r="D3" s="7" t="s">
        <v>6</v>
      </c>
      <c r="E3" s="40">
        <v>3993092</v>
      </c>
      <c r="G3" s="7" t="s">
        <v>268</v>
      </c>
      <c r="H3" s="40">
        <v>3353020</v>
      </c>
      <c r="M3" s="6" t="s">
        <v>0</v>
      </c>
      <c r="N3" t="s">
        <v>8</v>
      </c>
      <c r="P3" s="6" t="s">
        <v>0</v>
      </c>
      <c r="Q3" t="s">
        <v>9</v>
      </c>
      <c r="S3" s="6" t="s">
        <v>0</v>
      </c>
      <c r="T3" t="s">
        <v>10</v>
      </c>
      <c r="V3" s="6" t="s">
        <v>0</v>
      </c>
      <c r="W3" t="s">
        <v>8</v>
      </c>
    </row>
    <row r="4" spans="1:23">
      <c r="A4" s="7" t="s">
        <v>66</v>
      </c>
      <c r="B4" s="40">
        <v>515872</v>
      </c>
      <c r="C4"/>
      <c r="D4" s="7" t="s">
        <v>12</v>
      </c>
      <c r="E4" s="40">
        <v>10274693</v>
      </c>
      <c r="G4" s="7" t="s">
        <v>241</v>
      </c>
      <c r="H4" s="40">
        <v>1185134</v>
      </c>
      <c r="M4" s="12">
        <v>45680</v>
      </c>
      <c r="N4" s="3">
        <v>1350346</v>
      </c>
      <c r="P4" s="7" t="s">
        <v>21</v>
      </c>
      <c r="Q4" s="3">
        <v>97112</v>
      </c>
      <c r="S4" s="7" t="s">
        <v>27</v>
      </c>
      <c r="T4" s="1">
        <v>4</v>
      </c>
      <c r="V4" s="7" t="s">
        <v>21</v>
      </c>
      <c r="W4" s="3">
        <v>298312</v>
      </c>
    </row>
    <row r="5" spans="1:23">
      <c r="A5" s="7" t="s">
        <v>95</v>
      </c>
      <c r="B5" s="40">
        <v>516002</v>
      </c>
      <c r="C5"/>
      <c r="D5" s="7" t="s">
        <v>16</v>
      </c>
      <c r="E5" s="40">
        <v>31047609</v>
      </c>
      <c r="G5" s="7" t="s">
        <v>245</v>
      </c>
      <c r="H5" s="40">
        <v>4993319</v>
      </c>
      <c r="M5" s="12">
        <v>45681</v>
      </c>
      <c r="N5" s="3">
        <v>1572235</v>
      </c>
      <c r="P5" s="7" t="s">
        <v>31</v>
      </c>
      <c r="Q5" s="3">
        <v>103324</v>
      </c>
      <c r="S5" s="7" t="s">
        <v>21</v>
      </c>
      <c r="T5" s="1">
        <v>4</v>
      </c>
      <c r="V5" s="7" t="s">
        <v>31</v>
      </c>
      <c r="W5" s="3">
        <v>342924</v>
      </c>
    </row>
    <row r="6" spans="1:23">
      <c r="A6" s="7" t="s">
        <v>118</v>
      </c>
      <c r="B6" s="40">
        <v>524238</v>
      </c>
      <c r="C6"/>
      <c r="D6"/>
      <c r="G6" s="7" t="s">
        <v>295</v>
      </c>
      <c r="H6" s="40">
        <v>3149470</v>
      </c>
      <c r="M6" s="12">
        <v>45682</v>
      </c>
      <c r="N6" s="3">
        <v>782013</v>
      </c>
      <c r="P6" s="7" t="s">
        <v>36</v>
      </c>
      <c r="Q6" s="3">
        <v>124755</v>
      </c>
      <c r="S6" s="7" t="s">
        <v>29</v>
      </c>
      <c r="T6" s="1">
        <v>4</v>
      </c>
      <c r="V6" s="7" t="s">
        <v>36</v>
      </c>
      <c r="W6" s="3">
        <v>403755</v>
      </c>
    </row>
    <row r="7" spans="1:23">
      <c r="A7" s="7" t="s">
        <v>72</v>
      </c>
      <c r="B7" s="40">
        <v>543860</v>
      </c>
      <c r="C7"/>
      <c r="D7"/>
      <c r="G7" s="7" t="s">
        <v>442</v>
      </c>
      <c r="H7" s="40">
        <v>675036</v>
      </c>
      <c r="M7" s="12" t="s">
        <v>16</v>
      </c>
      <c r="N7" s="3">
        <v>3704594</v>
      </c>
      <c r="P7" s="7" t="s">
        <v>16</v>
      </c>
      <c r="Q7" s="3">
        <v>325191</v>
      </c>
      <c r="S7" s="7" t="s">
        <v>31</v>
      </c>
      <c r="T7" s="1">
        <v>4</v>
      </c>
      <c r="V7" s="7" t="s">
        <v>16</v>
      </c>
      <c r="W7" s="3">
        <v>1044991</v>
      </c>
    </row>
    <row r="8" spans="1:23">
      <c r="A8" s="7" t="s">
        <v>5</v>
      </c>
      <c r="B8" s="40">
        <v>588051</v>
      </c>
      <c r="C8"/>
      <c r="D8"/>
      <c r="G8" s="7" t="s">
        <v>358</v>
      </c>
      <c r="H8" s="40">
        <v>729973</v>
      </c>
      <c r="S8" s="7" t="s">
        <v>36</v>
      </c>
      <c r="T8" s="1">
        <v>5</v>
      </c>
    </row>
    <row r="9" spans="1:23">
      <c r="A9" s="7" t="s">
        <v>11</v>
      </c>
      <c r="B9" s="40">
        <v>593734</v>
      </c>
      <c r="C9"/>
      <c r="D9"/>
      <c r="G9" s="7" t="s">
        <v>236</v>
      </c>
      <c r="H9" s="40">
        <v>3357392</v>
      </c>
      <c r="S9" s="7" t="s">
        <v>16</v>
      </c>
      <c r="T9" s="1">
        <v>21</v>
      </c>
    </row>
    <row r="10" spans="1:23">
      <c r="A10" s="7" t="s">
        <v>125</v>
      </c>
      <c r="B10" s="40">
        <v>675036</v>
      </c>
      <c r="C10"/>
      <c r="D10"/>
      <c r="G10" s="7" t="s">
        <v>249</v>
      </c>
      <c r="H10" s="40">
        <v>4559716</v>
      </c>
    </row>
    <row r="11" spans="1:23">
      <c r="A11" s="7" t="s">
        <v>99</v>
      </c>
      <c r="B11" s="40">
        <v>729973</v>
      </c>
      <c r="C11"/>
      <c r="D11"/>
      <c r="G11" s="7" t="s">
        <v>228</v>
      </c>
      <c r="H11" s="40">
        <v>3566410</v>
      </c>
    </row>
    <row r="12" spans="1:23">
      <c r="A12" s="7" t="s">
        <v>16</v>
      </c>
      <c r="B12" s="40">
        <v>5697616</v>
      </c>
      <c r="C12"/>
      <c r="D12"/>
      <c r="G12" s="7" t="s">
        <v>16</v>
      </c>
      <c r="H12" s="40">
        <v>26226150</v>
      </c>
    </row>
    <row r="13" spans="1:23">
      <c r="B13"/>
      <c r="C13"/>
      <c r="D13"/>
    </row>
    <row r="14" spans="1:23">
      <c r="B14"/>
      <c r="C14"/>
      <c r="D14"/>
    </row>
    <row r="15" spans="1:23">
      <c r="B15"/>
      <c r="C15"/>
      <c r="D15"/>
    </row>
    <row r="16" spans="1:23">
      <c r="B16"/>
      <c r="C16"/>
      <c r="D16"/>
    </row>
    <row r="17" spans="2:9">
      <c r="B17"/>
      <c r="C17"/>
      <c r="D17"/>
    </row>
    <row r="18" spans="2:9">
      <c r="B18"/>
      <c r="C18"/>
      <c r="D18"/>
    </row>
    <row r="19" spans="2:9">
      <c r="B19"/>
      <c r="C19"/>
      <c r="D19"/>
    </row>
    <row r="27" spans="2:9">
      <c r="H27" s="6" t="s">
        <v>0</v>
      </c>
      <c r="I27" t="s">
        <v>37</v>
      </c>
    </row>
    <row r="28" spans="2:9">
      <c r="H28" s="7" t="s">
        <v>381</v>
      </c>
      <c r="I28" s="40">
        <v>8</v>
      </c>
    </row>
    <row r="29" spans="2:9">
      <c r="H29" s="7" t="s">
        <v>358</v>
      </c>
      <c r="I29" s="40">
        <v>8</v>
      </c>
    </row>
    <row r="30" spans="2:9">
      <c r="H30" s="7" t="s">
        <v>442</v>
      </c>
      <c r="I30" s="40">
        <v>9</v>
      </c>
    </row>
    <row r="31" spans="2:9">
      <c r="H31" s="7" t="s">
        <v>324</v>
      </c>
      <c r="I31" s="40">
        <v>11</v>
      </c>
    </row>
    <row r="32" spans="2:9">
      <c r="B32" s="6" t="s">
        <v>0</v>
      </c>
      <c r="C32" t="s">
        <v>9</v>
      </c>
      <c r="D32" s="6" t="s">
        <v>0</v>
      </c>
      <c r="E32" t="s">
        <v>9</v>
      </c>
      <c r="H32" s="7" t="s">
        <v>241</v>
      </c>
      <c r="I32" s="40">
        <v>16</v>
      </c>
    </row>
    <row r="33" spans="2:9">
      <c r="B33" s="7" t="s">
        <v>683</v>
      </c>
      <c r="C33" s="3">
        <v>139894</v>
      </c>
      <c r="D33" s="7" t="s">
        <v>38</v>
      </c>
      <c r="E33" s="3">
        <v>282553</v>
      </c>
      <c r="H33" s="7" t="s">
        <v>295</v>
      </c>
      <c r="I33" s="40">
        <v>40</v>
      </c>
    </row>
    <row r="34" spans="2:9">
      <c r="B34" s="7" t="s">
        <v>39</v>
      </c>
      <c r="C34" s="3">
        <v>208874</v>
      </c>
      <c r="D34" s="7" t="s">
        <v>40</v>
      </c>
      <c r="E34" s="3">
        <v>393148</v>
      </c>
      <c r="H34" s="7" t="s">
        <v>268</v>
      </c>
      <c r="I34" s="40">
        <v>43</v>
      </c>
    </row>
    <row r="35" spans="2:9">
      <c r="B35" s="7" t="s">
        <v>684</v>
      </c>
      <c r="C35" s="3">
        <v>103324</v>
      </c>
      <c r="D35" s="7" t="s">
        <v>41</v>
      </c>
      <c r="E35" s="3">
        <v>486193</v>
      </c>
      <c r="H35" s="7" t="s">
        <v>236</v>
      </c>
      <c r="I35" s="40">
        <v>45</v>
      </c>
    </row>
    <row r="36" spans="2:9">
      <c r="B36" s="7" t="s">
        <v>42</v>
      </c>
      <c r="C36" s="3">
        <v>104484</v>
      </c>
      <c r="D36" s="7" t="s">
        <v>16</v>
      </c>
      <c r="E36" s="3">
        <v>1161894</v>
      </c>
      <c r="H36" s="7" t="s">
        <v>228</v>
      </c>
      <c r="I36" s="40">
        <v>50</v>
      </c>
    </row>
    <row r="37" spans="2:9">
      <c r="B37" s="7" t="s">
        <v>43</v>
      </c>
      <c r="C37" s="3">
        <v>132138</v>
      </c>
      <c r="D37"/>
      <c r="H37" s="7" t="s">
        <v>249</v>
      </c>
      <c r="I37" s="40">
        <v>60</v>
      </c>
    </row>
    <row r="38" spans="2:9">
      <c r="B38" s="7" t="s">
        <v>44</v>
      </c>
      <c r="C38" s="3">
        <v>263511</v>
      </c>
      <c r="D38"/>
      <c r="H38" s="7" t="s">
        <v>245</v>
      </c>
      <c r="I38" s="40">
        <v>62</v>
      </c>
    </row>
    <row r="39" spans="2:9">
      <c r="B39" s="7" t="s">
        <v>45</v>
      </c>
      <c r="C39" s="3">
        <v>209669</v>
      </c>
      <c r="D39"/>
      <c r="H39" s="7" t="s">
        <v>16</v>
      </c>
      <c r="I39" s="40">
        <v>352</v>
      </c>
    </row>
    <row r="40" spans="2:9">
      <c r="B40" s="7" t="s">
        <v>16</v>
      </c>
      <c r="C40" s="3">
        <v>1161894</v>
      </c>
      <c r="D40"/>
    </row>
    <row r="41" spans="2:9">
      <c r="B41"/>
      <c r="C41"/>
      <c r="D41"/>
    </row>
    <row r="42" spans="2:9">
      <c r="B42"/>
      <c r="C42"/>
      <c r="D42"/>
    </row>
    <row r="43" spans="2:9">
      <c r="B43"/>
      <c r="C43"/>
      <c r="D43"/>
    </row>
    <row r="44" spans="2:9">
      <c r="B44"/>
      <c r="C44"/>
      <c r="D44"/>
    </row>
    <row r="45" spans="2:9">
      <c r="B45"/>
      <c r="C45"/>
      <c r="D45"/>
    </row>
    <row r="46" spans="2:9">
      <c r="B46"/>
      <c r="C46"/>
      <c r="D46"/>
    </row>
    <row r="47" spans="2:9">
      <c r="B47"/>
      <c r="C47"/>
      <c r="D47"/>
    </row>
    <row r="48" spans="2:9">
      <c r="B48"/>
      <c r="C48"/>
      <c r="D48"/>
    </row>
    <row r="49" customForma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9"/>
  <sheetViews>
    <sheetView topLeftCell="A52" zoomScale="59" zoomScaleNormal="59" workbookViewId="0">
      <selection activeCell="N42" sqref="N42"/>
    </sheetView>
  </sheetViews>
  <sheetFormatPr defaultRowHeight="14.4"/>
  <cols>
    <col min="1" max="1" width="17.21875" customWidth="1"/>
    <col min="2" max="2" width="24.77734375" customWidth="1"/>
    <col min="3" max="3" width="10.88671875" bestFit="1" customWidth="1"/>
    <col min="4" max="4" width="12.77734375" bestFit="1" customWidth="1"/>
    <col min="5" max="5" width="11.5546875" customWidth="1"/>
    <col min="6" max="6" width="13.33203125" bestFit="1" customWidth="1"/>
    <col min="7" max="7" width="12.33203125" customWidth="1"/>
    <col min="8" max="8" width="16.44140625" customWidth="1"/>
    <col min="9" max="9" width="11.5546875" customWidth="1"/>
    <col min="10" max="11" width="8" customWidth="1"/>
    <col min="12" max="12" width="9.109375" bestFit="1" customWidth="1"/>
    <col min="13" max="13" width="6.6640625" bestFit="1" customWidth="1"/>
    <col min="14" max="14" width="13.109375" customWidth="1"/>
    <col min="15" max="15" width="24.77734375" bestFit="1" customWidth="1"/>
    <col min="16" max="16" width="19.33203125" bestFit="1" customWidth="1"/>
    <col min="17" max="17" width="22.33203125" bestFit="1" customWidth="1"/>
    <col min="18" max="18" width="13.109375" bestFit="1" customWidth="1"/>
    <col min="19" max="19" width="10.88671875" bestFit="1" customWidth="1"/>
    <col min="20" max="20" width="13.6640625" bestFit="1" customWidth="1"/>
    <col min="21" max="21" width="9.109375" bestFit="1" customWidth="1"/>
    <col min="22" max="22" width="10.88671875" bestFit="1" customWidth="1"/>
    <col min="23" max="23" width="18.88671875" bestFit="1" customWidth="1"/>
  </cols>
  <sheetData>
    <row r="1" spans="1:17">
      <c r="A1" s="20" t="s">
        <v>46</v>
      </c>
      <c r="B1" s="21" t="s">
        <v>47</v>
      </c>
      <c r="C1" s="21" t="s">
        <v>48</v>
      </c>
      <c r="D1" s="21" t="s">
        <v>49</v>
      </c>
      <c r="E1" s="21" t="s">
        <v>50</v>
      </c>
      <c r="F1" s="21" t="s">
        <v>51</v>
      </c>
      <c r="G1" s="21" t="s">
        <v>52</v>
      </c>
      <c r="H1" s="21" t="s">
        <v>53</v>
      </c>
      <c r="I1" s="21" t="s">
        <v>54</v>
      </c>
      <c r="J1" s="21" t="s">
        <v>55</v>
      </c>
      <c r="K1" s="21" t="s">
        <v>56</v>
      </c>
      <c r="L1" s="21" t="s">
        <v>57</v>
      </c>
      <c r="M1" s="22" t="s">
        <v>58</v>
      </c>
      <c r="O1" s="17" t="s">
        <v>47</v>
      </c>
      <c r="P1" s="17" t="s">
        <v>59</v>
      </c>
      <c r="Q1" s="17" t="s">
        <v>60</v>
      </c>
    </row>
    <row r="2" spans="1:17">
      <c r="A2" s="23">
        <v>45658</v>
      </c>
      <c r="B2" t="s">
        <v>19</v>
      </c>
      <c r="C2" s="1">
        <v>1</v>
      </c>
      <c r="D2" s="3">
        <f t="shared" ref="D2:D33" si="0">VLOOKUP(B2,$O$2:$Q$26,2,0)*C2</f>
        <v>51340</v>
      </c>
      <c r="E2" s="3">
        <f>D2 *27%</f>
        <v>13861.800000000001</v>
      </c>
      <c r="F2" s="3">
        <f>D2+E2</f>
        <v>65201.8</v>
      </c>
      <c r="G2" t="s">
        <v>62</v>
      </c>
      <c r="H2" t="s">
        <v>63</v>
      </c>
      <c r="I2" s="3">
        <f t="shared" ref="I2:I33" si="1">D2-(VLOOKUP(B2,$O$2:$Q$27,3,FALSE)*C2)</f>
        <v>17540</v>
      </c>
      <c r="J2" s="24">
        <f t="shared" ref="J2:J33" si="2">I2/(VLOOKUP(B2,$O$2:$Q$26,2,FALSE)*C2)</f>
        <v>0.34164394234515</v>
      </c>
      <c r="K2" s="24">
        <f t="shared" ref="K2:K33" si="3">I2/(VLOOKUP(B2,$O$2:$Q$26,3,FALSE)*C2)</f>
        <v>0.5189349112426036</v>
      </c>
      <c r="L2" t="str">
        <f>LEFT(B2, FIND(" ", B2)-1)</f>
        <v>ASUS</v>
      </c>
      <c r="M2" s="25" t="str">
        <f t="shared" ref="M2:M8" si="4">_xlfn.TEXTAFTER(B2," ",-1)</f>
        <v>32"</v>
      </c>
      <c r="O2" s="17" t="s">
        <v>29</v>
      </c>
      <c r="P2" s="18">
        <v>62340</v>
      </c>
      <c r="Q2" s="19">
        <v>41200</v>
      </c>
    </row>
    <row r="3" spans="1:17">
      <c r="A3" s="23">
        <v>45658</v>
      </c>
      <c r="B3" t="s">
        <v>35</v>
      </c>
      <c r="C3" s="1">
        <v>1</v>
      </c>
      <c r="D3" s="3">
        <f t="shared" si="0"/>
        <v>64014</v>
      </c>
      <c r="E3" s="3">
        <f>D3 *27%</f>
        <v>17283.780000000002</v>
      </c>
      <c r="F3" s="3">
        <f t="shared" ref="F3:F66" si="5">D3+E3</f>
        <v>81297.78</v>
      </c>
      <c r="G3" t="s">
        <v>62</v>
      </c>
      <c r="H3" t="s">
        <v>11</v>
      </c>
      <c r="I3" s="3">
        <f t="shared" si="1"/>
        <v>19714</v>
      </c>
      <c r="J3" s="24">
        <f t="shared" si="2"/>
        <v>0.30796388290061549</v>
      </c>
      <c r="K3" s="24">
        <f t="shared" si="3"/>
        <v>0.44501128668171558</v>
      </c>
      <c r="L3" t="str">
        <f t="shared" ref="L3:L66" si="6">LEFT(B3, FIND(" ", B3)-1)</f>
        <v>ASUS</v>
      </c>
      <c r="M3" s="25" t="str">
        <f t="shared" si="4"/>
        <v>27"</v>
      </c>
      <c r="O3" s="17" t="s">
        <v>19</v>
      </c>
      <c r="P3" s="18">
        <v>51340</v>
      </c>
      <c r="Q3" s="19">
        <v>33800</v>
      </c>
    </row>
    <row r="4" spans="1:17">
      <c r="A4" s="23">
        <v>45658</v>
      </c>
      <c r="B4" t="s">
        <v>18</v>
      </c>
      <c r="C4" s="1">
        <v>1</v>
      </c>
      <c r="D4" s="3">
        <f t="shared" si="0"/>
        <v>94724</v>
      </c>
      <c r="E4" s="3">
        <f t="shared" ref="E4:E67" si="7">D4 *27%</f>
        <v>25575.480000000003</v>
      </c>
      <c r="F4" s="3">
        <f t="shared" si="5"/>
        <v>120299.48000000001</v>
      </c>
      <c r="G4" t="s">
        <v>62</v>
      </c>
      <c r="H4" t="s">
        <v>64</v>
      </c>
      <c r="I4" s="3">
        <f t="shared" si="1"/>
        <v>27224</v>
      </c>
      <c r="J4" s="24">
        <f t="shared" si="2"/>
        <v>0.28740340357248428</v>
      </c>
      <c r="K4" s="24">
        <f t="shared" si="3"/>
        <v>0.40331851851851852</v>
      </c>
      <c r="L4" t="str">
        <f t="shared" si="6"/>
        <v>Acer</v>
      </c>
      <c r="M4" s="25" t="str">
        <f t="shared" si="4"/>
        <v>24"</v>
      </c>
      <c r="O4" s="17" t="s">
        <v>30</v>
      </c>
      <c r="P4" s="18">
        <v>86474</v>
      </c>
      <c r="Q4" s="19">
        <v>57400</v>
      </c>
    </row>
    <row r="5" spans="1:17">
      <c r="A5" s="23">
        <v>45658</v>
      </c>
      <c r="B5" t="s">
        <v>30</v>
      </c>
      <c r="C5" s="1">
        <v>2</v>
      </c>
      <c r="D5" s="3">
        <f t="shared" si="0"/>
        <v>172948</v>
      </c>
      <c r="E5" s="3">
        <f t="shared" si="7"/>
        <v>46695.960000000006</v>
      </c>
      <c r="F5" s="3">
        <f t="shared" si="5"/>
        <v>219643.96000000002</v>
      </c>
      <c r="G5" t="s">
        <v>65</v>
      </c>
      <c r="H5" t="s">
        <v>66</v>
      </c>
      <c r="I5" s="3">
        <f t="shared" si="1"/>
        <v>58148</v>
      </c>
      <c r="J5" s="24">
        <f t="shared" si="2"/>
        <v>0.33621666628119434</v>
      </c>
      <c r="K5" s="24">
        <f t="shared" si="3"/>
        <v>0.50651567944250875</v>
      </c>
      <c r="L5" t="str">
        <f t="shared" si="6"/>
        <v>Samsung</v>
      </c>
      <c r="M5" s="25" t="str">
        <f t="shared" si="4"/>
        <v>32"</v>
      </c>
      <c r="O5" s="17" t="s">
        <v>31</v>
      </c>
      <c r="P5" s="18">
        <v>85731</v>
      </c>
      <c r="Q5" s="19">
        <v>59900</v>
      </c>
    </row>
    <row r="6" spans="1:17">
      <c r="A6" s="23">
        <v>45658</v>
      </c>
      <c r="B6" t="s">
        <v>29</v>
      </c>
      <c r="C6" s="1">
        <v>2</v>
      </c>
      <c r="D6" s="3">
        <f t="shared" si="0"/>
        <v>124680</v>
      </c>
      <c r="E6" s="3">
        <f t="shared" si="7"/>
        <v>33663.600000000006</v>
      </c>
      <c r="F6" s="3">
        <f t="shared" si="5"/>
        <v>158343.6</v>
      </c>
      <c r="G6" t="s">
        <v>62</v>
      </c>
      <c r="H6" t="s">
        <v>67</v>
      </c>
      <c r="I6" s="3">
        <f t="shared" si="1"/>
        <v>42280</v>
      </c>
      <c r="J6" s="24">
        <f t="shared" si="2"/>
        <v>0.33910811677895414</v>
      </c>
      <c r="K6" s="24">
        <f t="shared" si="3"/>
        <v>0.51310679611650489</v>
      </c>
      <c r="L6" t="str">
        <f t="shared" si="6"/>
        <v>LG</v>
      </c>
      <c r="M6" s="25" t="str">
        <f t="shared" si="4"/>
        <v>32"</v>
      </c>
      <c r="O6" s="17" t="s">
        <v>33</v>
      </c>
      <c r="P6" s="18">
        <v>52504</v>
      </c>
      <c r="Q6" s="19">
        <v>35600</v>
      </c>
    </row>
    <row r="7" spans="1:17">
      <c r="A7" s="23">
        <v>45658</v>
      </c>
      <c r="B7" t="s">
        <v>36</v>
      </c>
      <c r="C7" s="1">
        <v>2</v>
      </c>
      <c r="D7" s="3">
        <f t="shared" si="0"/>
        <v>161502</v>
      </c>
      <c r="E7" s="3">
        <f t="shared" si="7"/>
        <v>43605.54</v>
      </c>
      <c r="F7" s="3">
        <f t="shared" si="5"/>
        <v>205107.54</v>
      </c>
      <c r="G7" t="s">
        <v>62</v>
      </c>
      <c r="H7" t="s">
        <v>68</v>
      </c>
      <c r="I7" s="3">
        <f t="shared" si="1"/>
        <v>49902</v>
      </c>
      <c r="J7" s="24">
        <f t="shared" si="2"/>
        <v>0.3089868856113237</v>
      </c>
      <c r="K7" s="24">
        <f t="shared" si="3"/>
        <v>0.4471505376344086</v>
      </c>
      <c r="L7" t="str">
        <f t="shared" si="6"/>
        <v>LG</v>
      </c>
      <c r="M7" s="25" t="str">
        <f t="shared" si="4"/>
        <v>24"</v>
      </c>
      <c r="O7" s="17" t="s">
        <v>26</v>
      </c>
      <c r="P7" s="18">
        <v>88349</v>
      </c>
      <c r="Q7" s="19">
        <v>61700</v>
      </c>
    </row>
    <row r="8" spans="1:17">
      <c r="A8" s="23">
        <v>45658</v>
      </c>
      <c r="B8" t="s">
        <v>33</v>
      </c>
      <c r="C8" s="1">
        <v>1</v>
      </c>
      <c r="D8" s="3">
        <f t="shared" si="0"/>
        <v>52504</v>
      </c>
      <c r="E8" s="3">
        <f t="shared" si="7"/>
        <v>14176.080000000002</v>
      </c>
      <c r="F8" s="3">
        <f t="shared" si="5"/>
        <v>66680.08</v>
      </c>
      <c r="G8" t="s">
        <v>65</v>
      </c>
      <c r="H8" t="s">
        <v>69</v>
      </c>
      <c r="I8" s="3">
        <f t="shared" si="1"/>
        <v>16904</v>
      </c>
      <c r="J8" s="24">
        <f t="shared" si="2"/>
        <v>0.32195642236781957</v>
      </c>
      <c r="K8" s="24">
        <f t="shared" si="3"/>
        <v>0.47483146067415732</v>
      </c>
      <c r="L8" t="str">
        <f t="shared" si="6"/>
        <v>Samsung</v>
      </c>
      <c r="M8" s="25" t="str">
        <f t="shared" si="4"/>
        <v>32"</v>
      </c>
      <c r="O8" s="17" t="s">
        <v>21</v>
      </c>
      <c r="P8" s="18">
        <v>74578</v>
      </c>
      <c r="Q8" s="19">
        <v>50300</v>
      </c>
    </row>
    <row r="9" spans="1:17">
      <c r="A9" s="23">
        <v>45659</v>
      </c>
      <c r="B9" t="s">
        <v>14</v>
      </c>
      <c r="C9" s="1">
        <v>1</v>
      </c>
      <c r="D9" s="3">
        <f t="shared" si="0"/>
        <v>58708</v>
      </c>
      <c r="E9" s="3">
        <f t="shared" si="7"/>
        <v>15851.160000000002</v>
      </c>
      <c r="F9" s="3">
        <f t="shared" si="5"/>
        <v>74559.16</v>
      </c>
      <c r="G9" t="s">
        <v>65</v>
      </c>
      <c r="H9" t="s">
        <v>70</v>
      </c>
      <c r="I9" s="3">
        <f t="shared" si="1"/>
        <v>19308</v>
      </c>
      <c r="J9" s="24">
        <f t="shared" si="2"/>
        <v>0.3288819240989303</v>
      </c>
      <c r="K9" s="24">
        <f t="shared" si="3"/>
        <v>0.49005076142131981</v>
      </c>
      <c r="L9" t="str">
        <f t="shared" si="6"/>
        <v>Samsung</v>
      </c>
      <c r="M9" s="25" t="str">
        <f t="shared" ref="M9:M72" si="8">_xlfn.TEXTAFTER(B9," ",-1)</f>
        <v>27"</v>
      </c>
      <c r="O9" s="17" t="s">
        <v>20</v>
      </c>
      <c r="P9" s="18">
        <v>80499</v>
      </c>
      <c r="Q9" s="19">
        <v>56100</v>
      </c>
    </row>
    <row r="10" spans="1:17">
      <c r="A10" s="23">
        <v>45659</v>
      </c>
      <c r="B10" t="s">
        <v>21</v>
      </c>
      <c r="C10" s="1">
        <v>1</v>
      </c>
      <c r="D10" s="3">
        <f t="shared" si="0"/>
        <v>74578</v>
      </c>
      <c r="E10" s="3">
        <f t="shared" si="7"/>
        <v>20136.060000000001</v>
      </c>
      <c r="F10" s="3">
        <f t="shared" si="5"/>
        <v>94714.06</v>
      </c>
      <c r="G10" t="s">
        <v>62</v>
      </c>
      <c r="H10" t="s">
        <v>71</v>
      </c>
      <c r="I10" s="3">
        <f t="shared" si="1"/>
        <v>24278</v>
      </c>
      <c r="J10" s="24">
        <f t="shared" si="2"/>
        <v>0.32553836251977797</v>
      </c>
      <c r="K10" s="24">
        <f t="shared" si="3"/>
        <v>0.48266401590457259</v>
      </c>
      <c r="L10" t="str">
        <f t="shared" si="6"/>
        <v>ASUS</v>
      </c>
      <c r="M10" s="25" t="str">
        <f t="shared" si="8"/>
        <v>32"</v>
      </c>
      <c r="O10" s="17" t="s">
        <v>17</v>
      </c>
      <c r="P10" s="18">
        <v>63536</v>
      </c>
      <c r="Q10" s="19">
        <v>42900</v>
      </c>
    </row>
    <row r="11" spans="1:17">
      <c r="A11" s="23">
        <v>45659</v>
      </c>
      <c r="B11" t="s">
        <v>15</v>
      </c>
      <c r="C11" s="1">
        <v>2</v>
      </c>
      <c r="D11" s="3">
        <f t="shared" si="0"/>
        <v>198210</v>
      </c>
      <c r="E11" s="3">
        <f t="shared" si="7"/>
        <v>53516.700000000004</v>
      </c>
      <c r="F11" s="3">
        <f t="shared" si="5"/>
        <v>251726.7</v>
      </c>
      <c r="G11" t="s">
        <v>65</v>
      </c>
      <c r="H11" t="s">
        <v>72</v>
      </c>
      <c r="I11" s="3">
        <f t="shared" si="1"/>
        <v>55810</v>
      </c>
      <c r="J11" s="24">
        <f t="shared" si="2"/>
        <v>0.28157005196508755</v>
      </c>
      <c r="K11" s="24">
        <f t="shared" si="3"/>
        <v>0.39192415730337077</v>
      </c>
      <c r="L11" t="str">
        <f t="shared" si="6"/>
        <v>Dell</v>
      </c>
      <c r="M11" s="25" t="str">
        <f t="shared" si="8"/>
        <v>27"</v>
      </c>
      <c r="O11" s="17" t="s">
        <v>18</v>
      </c>
      <c r="P11" s="18">
        <v>94724</v>
      </c>
      <c r="Q11" s="19">
        <v>67500</v>
      </c>
    </row>
    <row r="12" spans="1:17">
      <c r="A12" s="23">
        <v>45659</v>
      </c>
      <c r="B12" t="s">
        <v>17</v>
      </c>
      <c r="C12" s="1">
        <v>1</v>
      </c>
      <c r="D12" s="3">
        <f t="shared" si="0"/>
        <v>63536</v>
      </c>
      <c r="E12" s="3">
        <f t="shared" si="7"/>
        <v>17154.72</v>
      </c>
      <c r="F12" s="3">
        <f t="shared" si="5"/>
        <v>80690.720000000001</v>
      </c>
      <c r="G12" t="s">
        <v>62</v>
      </c>
      <c r="H12" t="s">
        <v>2</v>
      </c>
      <c r="I12" s="3">
        <f t="shared" si="1"/>
        <v>20636</v>
      </c>
      <c r="J12" s="24">
        <f t="shared" si="2"/>
        <v>0.32479224376731303</v>
      </c>
      <c r="K12" s="24">
        <f t="shared" si="3"/>
        <v>0.48102564102564105</v>
      </c>
      <c r="L12" t="str">
        <f t="shared" si="6"/>
        <v>Samsung</v>
      </c>
      <c r="M12" s="25" t="str">
        <f t="shared" si="8"/>
        <v>24"</v>
      </c>
      <c r="O12" s="17" t="s">
        <v>35</v>
      </c>
      <c r="P12" s="18">
        <v>64014</v>
      </c>
      <c r="Q12" s="19">
        <v>44300</v>
      </c>
    </row>
    <row r="13" spans="1:17">
      <c r="A13" s="23">
        <v>45659</v>
      </c>
      <c r="B13" t="s">
        <v>28</v>
      </c>
      <c r="C13" s="1">
        <v>3</v>
      </c>
      <c r="D13" s="3">
        <f t="shared" si="0"/>
        <v>266838</v>
      </c>
      <c r="E13" s="3">
        <f t="shared" si="7"/>
        <v>72046.260000000009</v>
      </c>
      <c r="F13" s="3">
        <f t="shared" si="5"/>
        <v>338884.26</v>
      </c>
      <c r="G13" t="s">
        <v>65</v>
      </c>
      <c r="H13" t="s">
        <v>73</v>
      </c>
      <c r="I13" s="3">
        <f t="shared" si="1"/>
        <v>80538</v>
      </c>
      <c r="J13" s="24">
        <f t="shared" si="2"/>
        <v>0.30182357835090956</v>
      </c>
      <c r="K13" s="24">
        <f t="shared" si="3"/>
        <v>0.43230273752012882</v>
      </c>
      <c r="L13" t="str">
        <f t="shared" si="6"/>
        <v>Samsung</v>
      </c>
      <c r="M13" s="25" t="str">
        <f t="shared" si="8"/>
        <v>27"</v>
      </c>
      <c r="O13" s="17" t="s">
        <v>27</v>
      </c>
      <c r="P13" s="18">
        <v>61035</v>
      </c>
      <c r="Q13" s="19">
        <v>40200</v>
      </c>
    </row>
    <row r="14" spans="1:17">
      <c r="A14" s="23">
        <v>45659</v>
      </c>
      <c r="B14" t="s">
        <v>32</v>
      </c>
      <c r="C14" s="1">
        <v>1</v>
      </c>
      <c r="D14" s="3">
        <f t="shared" si="0"/>
        <v>94247</v>
      </c>
      <c r="E14" s="3">
        <f t="shared" si="7"/>
        <v>25446.690000000002</v>
      </c>
      <c r="F14" s="3">
        <f t="shared" si="5"/>
        <v>119693.69</v>
      </c>
      <c r="G14" t="s">
        <v>65</v>
      </c>
      <c r="H14" t="s">
        <v>74</v>
      </c>
      <c r="I14" s="3">
        <f t="shared" si="1"/>
        <v>27547</v>
      </c>
      <c r="J14" s="24">
        <f t="shared" si="2"/>
        <v>0.29228516557556211</v>
      </c>
      <c r="K14" s="24">
        <f t="shared" si="3"/>
        <v>0.41299850074962519</v>
      </c>
      <c r="L14" t="str">
        <f t="shared" si="6"/>
        <v>LG</v>
      </c>
      <c r="M14" s="25" t="str">
        <f t="shared" si="8"/>
        <v>32"</v>
      </c>
      <c r="O14" s="17" t="s">
        <v>35</v>
      </c>
      <c r="P14" s="18">
        <v>58787</v>
      </c>
      <c r="Q14" s="19">
        <v>38700</v>
      </c>
    </row>
    <row r="15" spans="1:17">
      <c r="A15" s="23">
        <v>45660</v>
      </c>
      <c r="B15" t="s">
        <v>20</v>
      </c>
      <c r="C15" s="1">
        <v>1</v>
      </c>
      <c r="D15" s="3">
        <f t="shared" si="0"/>
        <v>80499</v>
      </c>
      <c r="E15" s="3">
        <f t="shared" si="7"/>
        <v>21734.730000000003</v>
      </c>
      <c r="F15" s="3">
        <f t="shared" si="5"/>
        <v>102233.73000000001</v>
      </c>
      <c r="G15" t="s">
        <v>62</v>
      </c>
      <c r="H15" t="s">
        <v>75</v>
      </c>
      <c r="I15" s="3">
        <f t="shared" si="1"/>
        <v>24399</v>
      </c>
      <c r="J15" s="24">
        <f t="shared" si="2"/>
        <v>0.3030969328811538</v>
      </c>
      <c r="K15" s="24">
        <f t="shared" si="3"/>
        <v>0.4349197860962567</v>
      </c>
      <c r="L15" t="str">
        <f t="shared" si="6"/>
        <v>HP</v>
      </c>
      <c r="M15" s="25" t="str">
        <f t="shared" si="8"/>
        <v>27"</v>
      </c>
      <c r="O15" s="17" t="s">
        <v>36</v>
      </c>
      <c r="P15" s="18">
        <v>80751</v>
      </c>
      <c r="Q15" s="19">
        <v>55800</v>
      </c>
    </row>
    <row r="16" spans="1:17">
      <c r="A16" s="23">
        <v>45660</v>
      </c>
      <c r="B16" t="s">
        <v>34</v>
      </c>
      <c r="C16" s="1">
        <v>1</v>
      </c>
      <c r="D16" s="3">
        <f t="shared" si="0"/>
        <v>85841</v>
      </c>
      <c r="E16" s="3">
        <f t="shared" si="7"/>
        <v>23177.07</v>
      </c>
      <c r="F16" s="3">
        <f t="shared" si="5"/>
        <v>109018.07</v>
      </c>
      <c r="G16" t="s">
        <v>62</v>
      </c>
      <c r="H16" t="s">
        <v>76</v>
      </c>
      <c r="I16" s="3">
        <f t="shared" si="1"/>
        <v>25341</v>
      </c>
      <c r="J16" s="24">
        <f t="shared" si="2"/>
        <v>0.29520858331100525</v>
      </c>
      <c r="K16" s="24">
        <f t="shared" si="3"/>
        <v>0.41885950413223139</v>
      </c>
      <c r="L16" t="str">
        <f t="shared" si="6"/>
        <v>Dell</v>
      </c>
      <c r="M16" s="25" t="str">
        <f t="shared" si="8"/>
        <v>24"</v>
      </c>
      <c r="O16" s="17" t="s">
        <v>24</v>
      </c>
      <c r="P16" s="18">
        <v>97861</v>
      </c>
      <c r="Q16" s="19">
        <v>69400</v>
      </c>
    </row>
    <row r="17" spans="1:17">
      <c r="A17" s="23">
        <v>45660</v>
      </c>
      <c r="B17" t="s">
        <v>36</v>
      </c>
      <c r="C17" s="1">
        <v>4</v>
      </c>
      <c r="D17" s="3">
        <f t="shared" si="0"/>
        <v>323004</v>
      </c>
      <c r="E17" s="3">
        <f t="shared" si="7"/>
        <v>87211.08</v>
      </c>
      <c r="F17" s="3">
        <f t="shared" si="5"/>
        <v>410215.08</v>
      </c>
      <c r="G17" t="s">
        <v>65</v>
      </c>
      <c r="H17" t="s">
        <v>77</v>
      </c>
      <c r="I17" s="3">
        <f t="shared" si="1"/>
        <v>99804</v>
      </c>
      <c r="J17" s="24">
        <f t="shared" si="2"/>
        <v>0.3089868856113237</v>
      </c>
      <c r="K17" s="24">
        <f t="shared" si="3"/>
        <v>0.4471505376344086</v>
      </c>
      <c r="L17" t="str">
        <f t="shared" si="6"/>
        <v>LG</v>
      </c>
      <c r="M17" s="25" t="str">
        <f t="shared" si="8"/>
        <v>24"</v>
      </c>
      <c r="O17" s="17" t="s">
        <v>34</v>
      </c>
      <c r="P17" s="18">
        <v>85841</v>
      </c>
      <c r="Q17" s="19">
        <v>60500</v>
      </c>
    </row>
    <row r="18" spans="1:17">
      <c r="A18" s="23">
        <v>45660</v>
      </c>
      <c r="B18" t="s">
        <v>25</v>
      </c>
      <c r="C18" s="1">
        <v>1</v>
      </c>
      <c r="D18" s="3">
        <f t="shared" si="0"/>
        <v>88127</v>
      </c>
      <c r="E18" s="3">
        <f t="shared" si="7"/>
        <v>23794.29</v>
      </c>
      <c r="F18" s="3">
        <f t="shared" si="5"/>
        <v>111921.29000000001</v>
      </c>
      <c r="G18" t="s">
        <v>65</v>
      </c>
      <c r="H18" t="s">
        <v>78</v>
      </c>
      <c r="I18" s="3">
        <f t="shared" si="1"/>
        <v>27327</v>
      </c>
      <c r="J18" s="24">
        <f t="shared" si="2"/>
        <v>0.31008657959535668</v>
      </c>
      <c r="K18" s="24">
        <f t="shared" si="3"/>
        <v>0.44945723684210526</v>
      </c>
      <c r="L18" t="str">
        <f t="shared" si="6"/>
        <v>Samsung</v>
      </c>
      <c r="M18" s="25" t="str">
        <f t="shared" si="8"/>
        <v>24"</v>
      </c>
      <c r="O18" s="17" t="s">
        <v>22</v>
      </c>
      <c r="P18" s="18">
        <v>96782</v>
      </c>
      <c r="Q18" s="19">
        <v>68300</v>
      </c>
    </row>
    <row r="19" spans="1:17">
      <c r="A19" s="23">
        <v>45660</v>
      </c>
      <c r="B19" t="s">
        <v>27</v>
      </c>
      <c r="C19" s="1">
        <v>4</v>
      </c>
      <c r="D19" s="3">
        <f t="shared" si="0"/>
        <v>244140</v>
      </c>
      <c r="E19" s="3">
        <f t="shared" si="7"/>
        <v>65917.8</v>
      </c>
      <c r="F19" s="3">
        <f t="shared" si="5"/>
        <v>310057.8</v>
      </c>
      <c r="G19" t="s">
        <v>65</v>
      </c>
      <c r="H19" t="s">
        <v>79</v>
      </c>
      <c r="I19" s="3">
        <f t="shared" si="1"/>
        <v>83340</v>
      </c>
      <c r="J19" s="24">
        <f t="shared" si="2"/>
        <v>0.34136151388547553</v>
      </c>
      <c r="K19" s="24">
        <f t="shared" si="3"/>
        <v>0.51828358208955227</v>
      </c>
      <c r="L19" t="str">
        <f t="shared" si="6"/>
        <v>HP</v>
      </c>
      <c r="M19" s="25" t="str">
        <f t="shared" si="8"/>
        <v>27"</v>
      </c>
      <c r="O19" s="17" t="s">
        <v>15</v>
      </c>
      <c r="P19" s="18">
        <v>99105</v>
      </c>
      <c r="Q19" s="19">
        <v>71200</v>
      </c>
    </row>
    <row r="20" spans="1:17">
      <c r="A20" s="23">
        <v>45660</v>
      </c>
      <c r="B20" t="s">
        <v>35</v>
      </c>
      <c r="C20" s="1">
        <v>1</v>
      </c>
      <c r="D20" s="3">
        <f t="shared" si="0"/>
        <v>64014</v>
      </c>
      <c r="E20" s="3">
        <f t="shared" si="7"/>
        <v>17283.780000000002</v>
      </c>
      <c r="F20" s="3">
        <f t="shared" si="5"/>
        <v>81297.78</v>
      </c>
      <c r="G20" t="s">
        <v>65</v>
      </c>
      <c r="H20" t="s">
        <v>80</v>
      </c>
      <c r="I20" s="3">
        <f t="shared" si="1"/>
        <v>19714</v>
      </c>
      <c r="J20" s="24">
        <f t="shared" si="2"/>
        <v>0.30796388290061549</v>
      </c>
      <c r="K20" s="24">
        <f t="shared" si="3"/>
        <v>0.44501128668171558</v>
      </c>
      <c r="L20" t="str">
        <f t="shared" si="6"/>
        <v>ASUS</v>
      </c>
      <c r="M20" s="25" t="str">
        <f t="shared" si="8"/>
        <v>27"</v>
      </c>
      <c r="O20" s="17" t="s">
        <v>28</v>
      </c>
      <c r="P20" s="18">
        <v>88946</v>
      </c>
      <c r="Q20" s="19">
        <v>62100</v>
      </c>
    </row>
    <row r="21" spans="1:17">
      <c r="A21" s="23">
        <v>45660</v>
      </c>
      <c r="B21" t="s">
        <v>33</v>
      </c>
      <c r="C21" s="1">
        <v>1</v>
      </c>
      <c r="D21" s="3">
        <f t="shared" si="0"/>
        <v>52504</v>
      </c>
      <c r="E21" s="3">
        <f t="shared" si="7"/>
        <v>14176.080000000002</v>
      </c>
      <c r="F21" s="3">
        <f t="shared" si="5"/>
        <v>66680.08</v>
      </c>
      <c r="G21" t="s">
        <v>65</v>
      </c>
      <c r="H21" t="s">
        <v>81</v>
      </c>
      <c r="I21" s="3">
        <f t="shared" si="1"/>
        <v>16904</v>
      </c>
      <c r="J21" s="24">
        <f t="shared" si="2"/>
        <v>0.32195642236781957</v>
      </c>
      <c r="K21" s="24">
        <f t="shared" si="3"/>
        <v>0.47483146067415732</v>
      </c>
      <c r="L21" t="str">
        <f t="shared" si="6"/>
        <v>Samsung</v>
      </c>
      <c r="M21" s="25" t="str">
        <f t="shared" si="8"/>
        <v>32"</v>
      </c>
      <c r="O21" s="17" t="s">
        <v>36</v>
      </c>
      <c r="P21" s="18">
        <v>91715</v>
      </c>
      <c r="Q21" s="19">
        <v>64800</v>
      </c>
    </row>
    <row r="22" spans="1:17">
      <c r="A22" s="23">
        <v>45660</v>
      </c>
      <c r="B22" t="s">
        <v>24</v>
      </c>
      <c r="C22" s="1">
        <v>4</v>
      </c>
      <c r="D22" s="3">
        <f t="shared" si="0"/>
        <v>391444</v>
      </c>
      <c r="E22" s="3">
        <f>D22 * 27%</f>
        <v>105689.88</v>
      </c>
      <c r="F22" s="3">
        <f t="shared" si="5"/>
        <v>497133.88</v>
      </c>
      <c r="G22" t="s">
        <v>65</v>
      </c>
      <c r="H22" t="s">
        <v>82</v>
      </c>
      <c r="I22" s="3">
        <f t="shared" si="1"/>
        <v>113844</v>
      </c>
      <c r="J22" s="24">
        <f t="shared" si="2"/>
        <v>0.29083087235977562</v>
      </c>
      <c r="K22" s="24">
        <f t="shared" si="3"/>
        <v>0.41010086455331413</v>
      </c>
      <c r="L22" t="str">
        <f t="shared" si="6"/>
        <v>Dell</v>
      </c>
      <c r="M22" s="25" t="str">
        <f t="shared" si="8"/>
        <v>27"</v>
      </c>
      <c r="O22" s="17" t="s">
        <v>14</v>
      </c>
      <c r="P22" s="18">
        <v>58708</v>
      </c>
      <c r="Q22" s="19">
        <v>39400</v>
      </c>
    </row>
    <row r="23" spans="1:17">
      <c r="A23" s="23">
        <v>45660</v>
      </c>
      <c r="B23" t="s">
        <v>26</v>
      </c>
      <c r="C23" s="1">
        <v>3</v>
      </c>
      <c r="D23" s="3">
        <f t="shared" si="0"/>
        <v>265047</v>
      </c>
      <c r="E23" s="3">
        <f t="shared" si="7"/>
        <v>71562.69</v>
      </c>
      <c r="F23" s="3">
        <f t="shared" si="5"/>
        <v>336609.69</v>
      </c>
      <c r="G23" t="s">
        <v>65</v>
      </c>
      <c r="H23" t="s">
        <v>5</v>
      </c>
      <c r="I23" s="3">
        <f t="shared" si="1"/>
        <v>79947</v>
      </c>
      <c r="J23" s="24">
        <f t="shared" si="2"/>
        <v>0.30163329522688431</v>
      </c>
      <c r="K23" s="24">
        <f t="shared" si="3"/>
        <v>0.4319124797406807</v>
      </c>
      <c r="L23" t="str">
        <f t="shared" si="6"/>
        <v>LG</v>
      </c>
      <c r="M23" s="25" t="str">
        <f t="shared" si="8"/>
        <v>27"</v>
      </c>
      <c r="O23" s="17" t="s">
        <v>33</v>
      </c>
      <c r="P23" s="18">
        <v>88892</v>
      </c>
      <c r="Q23" s="19">
        <v>61900</v>
      </c>
    </row>
    <row r="24" spans="1:17">
      <c r="A24" s="23">
        <v>45661</v>
      </c>
      <c r="B24" t="s">
        <v>22</v>
      </c>
      <c r="C24" s="1">
        <v>2</v>
      </c>
      <c r="D24" s="3">
        <f t="shared" si="0"/>
        <v>193564</v>
      </c>
      <c r="E24" s="3">
        <f t="shared" si="7"/>
        <v>52262.280000000006</v>
      </c>
      <c r="F24" s="3">
        <f t="shared" si="5"/>
        <v>245826.28</v>
      </c>
      <c r="G24" t="s">
        <v>65</v>
      </c>
      <c r="H24" t="s">
        <v>83</v>
      </c>
      <c r="I24" s="3">
        <f t="shared" si="1"/>
        <v>56964</v>
      </c>
      <c r="J24" s="24">
        <f t="shared" si="2"/>
        <v>0.29429026058564611</v>
      </c>
      <c r="K24" s="24">
        <f t="shared" si="3"/>
        <v>0.41701317715959002</v>
      </c>
      <c r="L24" t="str">
        <f t="shared" si="6"/>
        <v>Acer</v>
      </c>
      <c r="M24" s="25" t="str">
        <f t="shared" si="8"/>
        <v>27"</v>
      </c>
      <c r="O24" s="17" t="s">
        <v>25</v>
      </c>
      <c r="P24" s="18">
        <v>88127</v>
      </c>
      <c r="Q24" s="19">
        <v>60800</v>
      </c>
    </row>
    <row r="25" spans="1:17">
      <c r="A25" s="23">
        <v>45661</v>
      </c>
      <c r="B25" t="s">
        <v>23</v>
      </c>
      <c r="C25" s="1">
        <v>3</v>
      </c>
      <c r="D25" s="3">
        <f t="shared" si="0"/>
        <v>213888</v>
      </c>
      <c r="E25" s="3">
        <f t="shared" si="7"/>
        <v>57749.760000000002</v>
      </c>
      <c r="F25" s="3">
        <f t="shared" si="5"/>
        <v>271637.76000000001</v>
      </c>
      <c r="G25" t="s">
        <v>62</v>
      </c>
      <c r="H25" t="s">
        <v>84</v>
      </c>
      <c r="I25" s="3">
        <f t="shared" si="1"/>
        <v>68088</v>
      </c>
      <c r="J25" s="24">
        <f t="shared" si="2"/>
        <v>0.31833482944344704</v>
      </c>
      <c r="K25" s="24">
        <f t="shared" si="3"/>
        <v>0.46699588477366255</v>
      </c>
      <c r="L25" t="str">
        <f t="shared" si="6"/>
        <v>Samsung</v>
      </c>
      <c r="M25" s="25" t="str">
        <f t="shared" si="8"/>
        <v>27"</v>
      </c>
      <c r="O25" s="17" t="s">
        <v>23</v>
      </c>
      <c r="P25" s="18">
        <v>71296</v>
      </c>
      <c r="Q25" s="19">
        <v>48600</v>
      </c>
    </row>
    <row r="26" spans="1:17">
      <c r="A26" s="23">
        <v>45661</v>
      </c>
      <c r="B26" t="s">
        <v>31</v>
      </c>
      <c r="C26" s="1">
        <v>4</v>
      </c>
      <c r="D26" s="3">
        <f t="shared" si="0"/>
        <v>342924</v>
      </c>
      <c r="E26" s="3">
        <f t="shared" si="7"/>
        <v>92589.48000000001</v>
      </c>
      <c r="F26" s="3">
        <f t="shared" si="5"/>
        <v>435513.48</v>
      </c>
      <c r="G26" t="s">
        <v>65</v>
      </c>
      <c r="H26" t="s">
        <v>85</v>
      </c>
      <c r="I26" s="3">
        <f t="shared" si="1"/>
        <v>103324</v>
      </c>
      <c r="J26" s="24">
        <f t="shared" si="2"/>
        <v>0.30130291259870989</v>
      </c>
      <c r="K26" s="24">
        <f t="shared" si="3"/>
        <v>0.43123539232053421</v>
      </c>
      <c r="L26" t="str">
        <f t="shared" si="6"/>
        <v>BenQ</v>
      </c>
      <c r="M26" s="25" t="str">
        <f t="shared" si="8"/>
        <v>32"</v>
      </c>
      <c r="O26" s="17" t="s">
        <v>32</v>
      </c>
      <c r="P26" s="18">
        <v>94247</v>
      </c>
      <c r="Q26" s="19">
        <v>66700</v>
      </c>
    </row>
    <row r="27" spans="1:17">
      <c r="A27" s="23">
        <v>45662</v>
      </c>
      <c r="B27" t="s">
        <v>19</v>
      </c>
      <c r="C27" s="1">
        <v>3</v>
      </c>
      <c r="D27" s="3">
        <f t="shared" si="0"/>
        <v>154020</v>
      </c>
      <c r="E27" s="3">
        <f t="shared" si="7"/>
        <v>41585.4</v>
      </c>
      <c r="F27" s="3">
        <f t="shared" si="5"/>
        <v>195605.4</v>
      </c>
      <c r="G27" t="s">
        <v>65</v>
      </c>
      <c r="H27" t="s">
        <v>86</v>
      </c>
      <c r="I27" s="3">
        <f t="shared" si="1"/>
        <v>52620</v>
      </c>
      <c r="J27" s="24">
        <f t="shared" si="2"/>
        <v>0.34164394234515</v>
      </c>
      <c r="K27" s="24">
        <f t="shared" si="3"/>
        <v>0.5189349112426036</v>
      </c>
      <c r="L27" t="str">
        <f t="shared" si="6"/>
        <v>ASUS</v>
      </c>
      <c r="M27" s="25" t="str">
        <f t="shared" si="8"/>
        <v>32"</v>
      </c>
    </row>
    <row r="28" spans="1:17">
      <c r="A28" s="23">
        <v>45662</v>
      </c>
      <c r="B28" t="s">
        <v>29</v>
      </c>
      <c r="C28" s="1">
        <v>3</v>
      </c>
      <c r="D28" s="3">
        <f t="shared" si="0"/>
        <v>187020</v>
      </c>
      <c r="E28" s="3">
        <f t="shared" si="7"/>
        <v>50495.4</v>
      </c>
      <c r="F28" s="3">
        <f t="shared" si="5"/>
        <v>237515.4</v>
      </c>
      <c r="G28" t="s">
        <v>65</v>
      </c>
      <c r="H28" t="s">
        <v>87</v>
      </c>
      <c r="I28" s="3">
        <f t="shared" si="1"/>
        <v>63420</v>
      </c>
      <c r="J28" s="24">
        <f t="shared" si="2"/>
        <v>0.33910811677895414</v>
      </c>
      <c r="K28" s="24">
        <f t="shared" si="3"/>
        <v>0.51310679611650489</v>
      </c>
      <c r="L28" t="str">
        <f t="shared" si="6"/>
        <v>LG</v>
      </c>
      <c r="M28" s="25" t="str">
        <f t="shared" si="8"/>
        <v>32"</v>
      </c>
    </row>
    <row r="29" spans="1:17">
      <c r="A29" s="23">
        <v>45662</v>
      </c>
      <c r="B29" t="s">
        <v>20</v>
      </c>
      <c r="C29" s="1">
        <v>2</v>
      </c>
      <c r="D29" s="3">
        <f t="shared" si="0"/>
        <v>160998</v>
      </c>
      <c r="E29" s="3">
        <f t="shared" si="7"/>
        <v>43469.460000000006</v>
      </c>
      <c r="F29" s="3">
        <f t="shared" si="5"/>
        <v>204467.46000000002</v>
      </c>
      <c r="G29" t="s">
        <v>65</v>
      </c>
      <c r="H29" t="s">
        <v>88</v>
      </c>
      <c r="I29" s="3">
        <f t="shared" si="1"/>
        <v>48798</v>
      </c>
      <c r="J29" s="24">
        <f t="shared" si="2"/>
        <v>0.3030969328811538</v>
      </c>
      <c r="K29" s="24">
        <f t="shared" si="3"/>
        <v>0.4349197860962567</v>
      </c>
      <c r="L29" t="str">
        <f t="shared" si="6"/>
        <v>HP</v>
      </c>
      <c r="M29" s="25" t="str">
        <f t="shared" si="8"/>
        <v>27"</v>
      </c>
    </row>
    <row r="30" spans="1:17">
      <c r="A30" s="23">
        <v>45662</v>
      </c>
      <c r="B30" t="s">
        <v>35</v>
      </c>
      <c r="C30" s="1">
        <v>4</v>
      </c>
      <c r="D30" s="3">
        <f t="shared" si="0"/>
        <v>256056</v>
      </c>
      <c r="E30" s="3">
        <f t="shared" si="7"/>
        <v>69135.12000000001</v>
      </c>
      <c r="F30" s="3">
        <f t="shared" si="5"/>
        <v>325191.12</v>
      </c>
      <c r="G30" t="s">
        <v>65</v>
      </c>
      <c r="H30" t="s">
        <v>89</v>
      </c>
      <c r="I30" s="3">
        <f t="shared" si="1"/>
        <v>78856</v>
      </c>
      <c r="J30" s="24">
        <f t="shared" si="2"/>
        <v>0.30796388290061549</v>
      </c>
      <c r="K30" s="24">
        <f t="shared" si="3"/>
        <v>0.44501128668171558</v>
      </c>
      <c r="L30" t="str">
        <f t="shared" si="6"/>
        <v>ASUS</v>
      </c>
      <c r="M30" s="25" t="str">
        <f t="shared" si="8"/>
        <v>27"</v>
      </c>
    </row>
    <row r="31" spans="1:17">
      <c r="A31" s="23">
        <v>45663</v>
      </c>
      <c r="B31" t="s">
        <v>33</v>
      </c>
      <c r="C31" s="1">
        <v>4</v>
      </c>
      <c r="D31" s="3">
        <f t="shared" si="0"/>
        <v>210016</v>
      </c>
      <c r="E31" s="3">
        <f t="shared" si="7"/>
        <v>56704.320000000007</v>
      </c>
      <c r="F31" s="3">
        <f t="shared" si="5"/>
        <v>266720.32</v>
      </c>
      <c r="G31" t="s">
        <v>62</v>
      </c>
      <c r="H31" t="s">
        <v>90</v>
      </c>
      <c r="I31" s="3">
        <f t="shared" si="1"/>
        <v>67616</v>
      </c>
      <c r="J31" s="24">
        <f t="shared" si="2"/>
        <v>0.32195642236781957</v>
      </c>
      <c r="K31" s="24">
        <f t="shared" si="3"/>
        <v>0.47483146067415732</v>
      </c>
      <c r="L31" t="str">
        <f t="shared" si="6"/>
        <v>Samsung</v>
      </c>
      <c r="M31" s="25" t="str">
        <f t="shared" si="8"/>
        <v>32"</v>
      </c>
    </row>
    <row r="32" spans="1:17">
      <c r="A32" s="23">
        <v>45663</v>
      </c>
      <c r="B32" t="s">
        <v>30</v>
      </c>
      <c r="C32" s="1">
        <v>4</v>
      </c>
      <c r="D32" s="3">
        <f t="shared" si="0"/>
        <v>345896</v>
      </c>
      <c r="E32" s="3">
        <f t="shared" si="7"/>
        <v>93391.920000000013</v>
      </c>
      <c r="F32" s="3">
        <f t="shared" si="5"/>
        <v>439287.92000000004</v>
      </c>
      <c r="G32" t="s">
        <v>65</v>
      </c>
      <c r="H32" t="s">
        <v>91</v>
      </c>
      <c r="I32" s="3">
        <f t="shared" si="1"/>
        <v>116296</v>
      </c>
      <c r="J32" s="24">
        <f t="shared" si="2"/>
        <v>0.33621666628119434</v>
      </c>
      <c r="K32" s="24">
        <f t="shared" si="3"/>
        <v>0.50651567944250875</v>
      </c>
      <c r="L32" t="str">
        <f t="shared" si="6"/>
        <v>Samsung</v>
      </c>
      <c r="M32" s="25" t="str">
        <f t="shared" si="8"/>
        <v>32"</v>
      </c>
    </row>
    <row r="33" spans="1:16">
      <c r="A33" s="23">
        <v>45663</v>
      </c>
      <c r="B33" t="s">
        <v>17</v>
      </c>
      <c r="C33" s="1">
        <v>1</v>
      </c>
      <c r="D33" s="3">
        <f t="shared" si="0"/>
        <v>63536</v>
      </c>
      <c r="E33" s="3">
        <f t="shared" si="7"/>
        <v>17154.72</v>
      </c>
      <c r="F33" s="3">
        <f t="shared" si="5"/>
        <v>80690.720000000001</v>
      </c>
      <c r="G33" t="s">
        <v>62</v>
      </c>
      <c r="H33" t="s">
        <v>92</v>
      </c>
      <c r="I33" s="3">
        <f t="shared" si="1"/>
        <v>20636</v>
      </c>
      <c r="J33" s="24">
        <f t="shared" si="2"/>
        <v>0.32479224376731303</v>
      </c>
      <c r="K33" s="24">
        <f t="shared" si="3"/>
        <v>0.48102564102564105</v>
      </c>
      <c r="L33" t="str">
        <f t="shared" si="6"/>
        <v>Samsung</v>
      </c>
      <c r="M33" s="25" t="str">
        <f t="shared" si="8"/>
        <v>24"</v>
      </c>
    </row>
    <row r="34" spans="1:16">
      <c r="A34" s="23">
        <v>45663</v>
      </c>
      <c r="B34" t="s">
        <v>36</v>
      </c>
      <c r="C34" s="1">
        <v>1</v>
      </c>
      <c r="D34" s="3">
        <f t="shared" ref="D34:D65" si="9">VLOOKUP(B34,$O$2:$Q$26,2,0)*C34</f>
        <v>80751</v>
      </c>
      <c r="E34" s="3">
        <f t="shared" si="7"/>
        <v>21802.77</v>
      </c>
      <c r="F34" s="3">
        <f t="shared" si="5"/>
        <v>102553.77</v>
      </c>
      <c r="G34" t="s">
        <v>65</v>
      </c>
      <c r="H34" t="s">
        <v>93</v>
      </c>
      <c r="I34" s="3">
        <f t="shared" ref="I34:I65" si="10">D34-(VLOOKUP(B34,$O$2:$Q$27,3,FALSE)*C34)</f>
        <v>24951</v>
      </c>
      <c r="J34" s="24">
        <f t="shared" ref="J34:J65" si="11">I34/(VLOOKUP(B34,$O$2:$Q$26,2,FALSE)*C34)</f>
        <v>0.3089868856113237</v>
      </c>
      <c r="K34" s="24">
        <f t="shared" ref="K34:K65" si="12">I34/(VLOOKUP(B34,$O$2:$Q$26,3,FALSE)*C34)</f>
        <v>0.4471505376344086</v>
      </c>
      <c r="L34" t="str">
        <f t="shared" si="6"/>
        <v>LG</v>
      </c>
      <c r="M34" s="25" t="str">
        <f t="shared" si="8"/>
        <v>24"</v>
      </c>
    </row>
    <row r="35" spans="1:16">
      <c r="A35" s="23">
        <v>45663</v>
      </c>
      <c r="B35" t="s">
        <v>21</v>
      </c>
      <c r="C35" s="1">
        <v>3</v>
      </c>
      <c r="D35" s="3">
        <f t="shared" si="9"/>
        <v>223734</v>
      </c>
      <c r="E35" s="3">
        <f t="shared" si="7"/>
        <v>60408.180000000008</v>
      </c>
      <c r="F35" s="3">
        <f t="shared" si="5"/>
        <v>284142.18</v>
      </c>
      <c r="G35" t="s">
        <v>65</v>
      </c>
      <c r="H35" t="s">
        <v>94</v>
      </c>
      <c r="I35" s="3">
        <f t="shared" si="10"/>
        <v>72834</v>
      </c>
      <c r="J35" s="24">
        <f t="shared" si="11"/>
        <v>0.32553836251977797</v>
      </c>
      <c r="K35" s="24">
        <f t="shared" si="12"/>
        <v>0.48266401590457259</v>
      </c>
      <c r="L35" t="str">
        <f t="shared" si="6"/>
        <v>ASUS</v>
      </c>
      <c r="M35" s="25" t="str">
        <f t="shared" si="8"/>
        <v>32"</v>
      </c>
      <c r="P35" s="4"/>
    </row>
    <row r="36" spans="1:16">
      <c r="A36" s="23">
        <v>45663</v>
      </c>
      <c r="B36" t="s">
        <v>15</v>
      </c>
      <c r="C36" s="1">
        <v>2</v>
      </c>
      <c r="D36" s="3">
        <f t="shared" si="9"/>
        <v>198210</v>
      </c>
      <c r="E36" s="3">
        <f t="shared" si="7"/>
        <v>53516.700000000004</v>
      </c>
      <c r="F36" s="3">
        <f t="shared" si="5"/>
        <v>251726.7</v>
      </c>
      <c r="G36" t="s">
        <v>62</v>
      </c>
      <c r="H36" t="s">
        <v>95</v>
      </c>
      <c r="I36" s="3">
        <f t="shared" si="10"/>
        <v>55810</v>
      </c>
      <c r="J36" s="24">
        <f t="shared" si="11"/>
        <v>0.28157005196508755</v>
      </c>
      <c r="K36" s="24">
        <f t="shared" si="12"/>
        <v>0.39192415730337077</v>
      </c>
      <c r="L36" t="str">
        <f t="shared" si="6"/>
        <v>Dell</v>
      </c>
      <c r="M36" s="25" t="str">
        <f t="shared" si="8"/>
        <v>27"</v>
      </c>
    </row>
    <row r="37" spans="1:16">
      <c r="A37" s="23">
        <v>45664</v>
      </c>
      <c r="B37" t="s">
        <v>18</v>
      </c>
      <c r="C37" s="1">
        <v>4</v>
      </c>
      <c r="D37" s="3">
        <f t="shared" si="9"/>
        <v>378896</v>
      </c>
      <c r="E37" s="3">
        <f t="shared" si="7"/>
        <v>102301.92000000001</v>
      </c>
      <c r="F37" s="3">
        <f t="shared" si="5"/>
        <v>481197.92000000004</v>
      </c>
      <c r="G37" t="s">
        <v>65</v>
      </c>
      <c r="H37" t="s">
        <v>96</v>
      </c>
      <c r="I37" s="3">
        <f t="shared" si="10"/>
        <v>108896</v>
      </c>
      <c r="J37" s="24">
        <f t="shared" si="11"/>
        <v>0.28740340357248428</v>
      </c>
      <c r="K37" s="24">
        <f t="shared" si="12"/>
        <v>0.40331851851851852</v>
      </c>
      <c r="L37" t="str">
        <f t="shared" si="6"/>
        <v>Acer</v>
      </c>
      <c r="M37" s="25" t="str">
        <f t="shared" si="8"/>
        <v>24"</v>
      </c>
    </row>
    <row r="38" spans="1:16">
      <c r="A38" s="23">
        <v>45664</v>
      </c>
      <c r="B38" t="s">
        <v>28</v>
      </c>
      <c r="C38" s="1">
        <v>3</v>
      </c>
      <c r="D38" s="3">
        <f t="shared" si="9"/>
        <v>266838</v>
      </c>
      <c r="E38" s="3">
        <f t="shared" si="7"/>
        <v>72046.260000000009</v>
      </c>
      <c r="F38" s="3">
        <f t="shared" si="5"/>
        <v>338884.26</v>
      </c>
      <c r="G38" t="s">
        <v>65</v>
      </c>
      <c r="H38" t="s">
        <v>97</v>
      </c>
      <c r="I38" s="3">
        <f t="shared" si="10"/>
        <v>80538</v>
      </c>
      <c r="J38" s="24">
        <f t="shared" si="11"/>
        <v>0.30182357835090956</v>
      </c>
      <c r="K38" s="24">
        <f t="shared" si="12"/>
        <v>0.43230273752012882</v>
      </c>
      <c r="L38" t="str">
        <f t="shared" si="6"/>
        <v>Samsung</v>
      </c>
      <c r="M38" s="25" t="str">
        <f t="shared" si="8"/>
        <v>27"</v>
      </c>
    </row>
    <row r="39" spans="1:16">
      <c r="A39" s="23">
        <v>45664</v>
      </c>
      <c r="B39" t="s">
        <v>32</v>
      </c>
      <c r="C39" s="1">
        <v>2</v>
      </c>
      <c r="D39" s="3">
        <f t="shared" si="9"/>
        <v>188494</v>
      </c>
      <c r="E39" s="3">
        <f t="shared" si="7"/>
        <v>50893.380000000005</v>
      </c>
      <c r="F39" s="3">
        <f t="shared" si="5"/>
        <v>239387.38</v>
      </c>
      <c r="G39" t="s">
        <v>65</v>
      </c>
      <c r="H39" t="s">
        <v>98</v>
      </c>
      <c r="I39" s="3">
        <f t="shared" si="10"/>
        <v>55094</v>
      </c>
      <c r="J39" s="24">
        <f t="shared" si="11"/>
        <v>0.29228516557556211</v>
      </c>
      <c r="K39" s="24">
        <f t="shared" si="12"/>
        <v>0.41299850074962519</v>
      </c>
      <c r="L39" t="str">
        <f t="shared" si="6"/>
        <v>LG</v>
      </c>
      <c r="M39" s="25" t="str">
        <f t="shared" si="8"/>
        <v>32"</v>
      </c>
    </row>
    <row r="40" spans="1:16">
      <c r="A40" s="23">
        <v>45664</v>
      </c>
      <c r="B40" t="s">
        <v>25</v>
      </c>
      <c r="C40" s="1">
        <v>4</v>
      </c>
      <c r="D40" s="3">
        <f t="shared" si="9"/>
        <v>352508</v>
      </c>
      <c r="E40" s="3">
        <f t="shared" si="7"/>
        <v>95177.16</v>
      </c>
      <c r="F40" s="3">
        <f t="shared" si="5"/>
        <v>447685.16000000003</v>
      </c>
      <c r="G40" t="s">
        <v>65</v>
      </c>
      <c r="H40" t="s">
        <v>99</v>
      </c>
      <c r="I40" s="3">
        <f t="shared" si="10"/>
        <v>109308</v>
      </c>
      <c r="J40" s="24">
        <f t="shared" si="11"/>
        <v>0.31008657959535668</v>
      </c>
      <c r="K40" s="24">
        <f t="shared" si="12"/>
        <v>0.44945723684210526</v>
      </c>
      <c r="L40" t="str">
        <f t="shared" si="6"/>
        <v>Samsung</v>
      </c>
      <c r="M40" s="25" t="str">
        <f t="shared" si="8"/>
        <v>24"</v>
      </c>
    </row>
    <row r="41" spans="1:16">
      <c r="A41" s="23">
        <v>45665</v>
      </c>
      <c r="B41" t="s">
        <v>35</v>
      </c>
      <c r="C41" s="1">
        <v>2</v>
      </c>
      <c r="D41" s="3">
        <f t="shared" si="9"/>
        <v>128028</v>
      </c>
      <c r="E41" s="3">
        <f t="shared" si="7"/>
        <v>34567.560000000005</v>
      </c>
      <c r="F41" s="3">
        <f t="shared" si="5"/>
        <v>162595.56</v>
      </c>
      <c r="G41" t="s">
        <v>65</v>
      </c>
      <c r="H41" t="s">
        <v>100</v>
      </c>
      <c r="I41" s="3">
        <f t="shared" si="10"/>
        <v>39428</v>
      </c>
      <c r="J41" s="24">
        <f t="shared" si="11"/>
        <v>0.30796388290061549</v>
      </c>
      <c r="K41" s="24">
        <f t="shared" si="12"/>
        <v>0.44501128668171558</v>
      </c>
      <c r="L41" t="str">
        <f t="shared" si="6"/>
        <v>ASUS</v>
      </c>
      <c r="M41" s="25" t="str">
        <f t="shared" si="8"/>
        <v>27"</v>
      </c>
    </row>
    <row r="42" spans="1:16">
      <c r="A42" s="23">
        <v>45665</v>
      </c>
      <c r="B42" t="s">
        <v>34</v>
      </c>
      <c r="C42" s="1">
        <v>2</v>
      </c>
      <c r="D42" s="3">
        <f t="shared" si="9"/>
        <v>171682</v>
      </c>
      <c r="E42" s="3">
        <f t="shared" si="7"/>
        <v>46354.14</v>
      </c>
      <c r="F42" s="3">
        <f t="shared" si="5"/>
        <v>218036.14</v>
      </c>
      <c r="G42" t="s">
        <v>62</v>
      </c>
      <c r="H42" t="s">
        <v>101</v>
      </c>
      <c r="I42" s="3">
        <f t="shared" si="10"/>
        <v>50682</v>
      </c>
      <c r="J42" s="24">
        <f t="shared" si="11"/>
        <v>0.29520858331100525</v>
      </c>
      <c r="K42" s="24">
        <f t="shared" si="12"/>
        <v>0.41885950413223139</v>
      </c>
      <c r="L42" t="str">
        <f t="shared" si="6"/>
        <v>Dell</v>
      </c>
      <c r="M42" s="25" t="str">
        <f t="shared" si="8"/>
        <v>24"</v>
      </c>
    </row>
    <row r="43" spans="1:16">
      <c r="A43" s="23">
        <v>45665</v>
      </c>
      <c r="B43" t="s">
        <v>14</v>
      </c>
      <c r="C43" s="1">
        <v>1</v>
      </c>
      <c r="D43" s="3">
        <f t="shared" si="9"/>
        <v>58708</v>
      </c>
      <c r="E43" s="3">
        <f t="shared" si="7"/>
        <v>15851.160000000002</v>
      </c>
      <c r="F43" s="3">
        <f t="shared" si="5"/>
        <v>74559.16</v>
      </c>
      <c r="G43" t="s">
        <v>65</v>
      </c>
      <c r="H43" t="s">
        <v>102</v>
      </c>
      <c r="I43" s="3">
        <f t="shared" si="10"/>
        <v>19308</v>
      </c>
      <c r="J43" s="24">
        <f t="shared" si="11"/>
        <v>0.3288819240989303</v>
      </c>
      <c r="K43" s="24">
        <f t="shared" si="12"/>
        <v>0.49005076142131981</v>
      </c>
      <c r="L43" t="str">
        <f t="shared" si="6"/>
        <v>Samsung</v>
      </c>
      <c r="M43" s="25" t="str">
        <f t="shared" si="8"/>
        <v>27"</v>
      </c>
    </row>
    <row r="44" spans="1:16">
      <c r="A44" s="23">
        <v>45665</v>
      </c>
      <c r="B44" t="s">
        <v>36</v>
      </c>
      <c r="C44" s="1">
        <v>5</v>
      </c>
      <c r="D44" s="3">
        <f t="shared" si="9"/>
        <v>403755</v>
      </c>
      <c r="E44" s="3">
        <f t="shared" si="7"/>
        <v>109013.85</v>
      </c>
      <c r="F44" s="3">
        <f t="shared" si="5"/>
        <v>512768.85</v>
      </c>
      <c r="G44" t="s">
        <v>65</v>
      </c>
      <c r="H44" t="s">
        <v>103</v>
      </c>
      <c r="I44" s="3">
        <f t="shared" si="10"/>
        <v>124755</v>
      </c>
      <c r="J44" s="24">
        <f t="shared" si="11"/>
        <v>0.3089868856113237</v>
      </c>
      <c r="K44" s="24">
        <f t="shared" si="12"/>
        <v>0.4471505376344086</v>
      </c>
      <c r="L44" t="str">
        <f t="shared" si="6"/>
        <v>LG</v>
      </c>
      <c r="M44" s="25" t="str">
        <f t="shared" si="8"/>
        <v>24"</v>
      </c>
    </row>
    <row r="45" spans="1:16">
      <c r="A45" s="23">
        <v>45665</v>
      </c>
      <c r="B45" t="s">
        <v>26</v>
      </c>
      <c r="C45" s="1">
        <v>1</v>
      </c>
      <c r="D45" s="3">
        <f t="shared" si="9"/>
        <v>88349</v>
      </c>
      <c r="E45" s="3">
        <f t="shared" si="7"/>
        <v>23854.230000000003</v>
      </c>
      <c r="F45" s="3">
        <f t="shared" si="5"/>
        <v>112203.23000000001</v>
      </c>
      <c r="G45" t="s">
        <v>62</v>
      </c>
      <c r="H45" t="s">
        <v>104</v>
      </c>
      <c r="I45" s="3">
        <f t="shared" si="10"/>
        <v>26649</v>
      </c>
      <c r="J45" s="24">
        <f t="shared" si="11"/>
        <v>0.30163329522688431</v>
      </c>
      <c r="K45" s="24">
        <f t="shared" si="12"/>
        <v>0.4319124797406807</v>
      </c>
      <c r="L45" t="str">
        <f t="shared" si="6"/>
        <v>LG</v>
      </c>
      <c r="M45" s="25" t="str">
        <f t="shared" si="8"/>
        <v>27"</v>
      </c>
    </row>
    <row r="46" spans="1:16">
      <c r="A46" s="23">
        <v>45665</v>
      </c>
      <c r="B46" t="s">
        <v>22</v>
      </c>
      <c r="C46" s="1">
        <v>1</v>
      </c>
      <c r="D46" s="3">
        <f t="shared" si="9"/>
        <v>96782</v>
      </c>
      <c r="E46" s="3">
        <f t="shared" si="7"/>
        <v>26131.140000000003</v>
      </c>
      <c r="F46" s="3">
        <f t="shared" si="5"/>
        <v>122913.14</v>
      </c>
      <c r="G46" t="s">
        <v>62</v>
      </c>
      <c r="H46" t="s">
        <v>104</v>
      </c>
      <c r="I46" s="3">
        <f t="shared" si="10"/>
        <v>28482</v>
      </c>
      <c r="J46" s="24">
        <f t="shared" si="11"/>
        <v>0.29429026058564611</v>
      </c>
      <c r="K46" s="24">
        <f t="shared" si="12"/>
        <v>0.41701317715959002</v>
      </c>
      <c r="L46" t="str">
        <f t="shared" si="6"/>
        <v>Acer</v>
      </c>
      <c r="M46" s="25" t="str">
        <f t="shared" si="8"/>
        <v>27"</v>
      </c>
    </row>
    <row r="47" spans="1:16">
      <c r="A47" s="23">
        <v>45665</v>
      </c>
      <c r="B47" t="s">
        <v>33</v>
      </c>
      <c r="C47" s="1">
        <v>2</v>
      </c>
      <c r="D47" s="3">
        <f t="shared" si="9"/>
        <v>105008</v>
      </c>
      <c r="E47" s="3">
        <f t="shared" si="7"/>
        <v>28352.160000000003</v>
      </c>
      <c r="F47" s="3">
        <f t="shared" si="5"/>
        <v>133360.16</v>
      </c>
      <c r="G47" t="s">
        <v>65</v>
      </c>
      <c r="H47" t="s">
        <v>105</v>
      </c>
      <c r="I47" s="3">
        <f t="shared" si="10"/>
        <v>33808</v>
      </c>
      <c r="J47" s="24">
        <f t="shared" si="11"/>
        <v>0.32195642236781957</v>
      </c>
      <c r="K47" s="24">
        <f t="shared" si="12"/>
        <v>0.47483146067415732</v>
      </c>
      <c r="L47" t="str">
        <f t="shared" si="6"/>
        <v>Samsung</v>
      </c>
      <c r="M47" s="25" t="str">
        <f t="shared" si="8"/>
        <v>32"</v>
      </c>
    </row>
    <row r="48" spans="1:16">
      <c r="A48" s="23">
        <v>45665</v>
      </c>
      <c r="B48" t="s">
        <v>27</v>
      </c>
      <c r="C48" s="1">
        <v>4</v>
      </c>
      <c r="D48" s="3">
        <f t="shared" si="9"/>
        <v>244140</v>
      </c>
      <c r="E48" s="3">
        <f t="shared" si="7"/>
        <v>65917.8</v>
      </c>
      <c r="F48" s="3">
        <f t="shared" si="5"/>
        <v>310057.8</v>
      </c>
      <c r="G48" t="s">
        <v>62</v>
      </c>
      <c r="H48" t="s">
        <v>106</v>
      </c>
      <c r="I48" s="3">
        <f t="shared" si="10"/>
        <v>83340</v>
      </c>
      <c r="J48" s="24">
        <f t="shared" si="11"/>
        <v>0.34136151388547553</v>
      </c>
      <c r="K48" s="24">
        <f t="shared" si="12"/>
        <v>0.51828358208955227</v>
      </c>
      <c r="L48" t="str">
        <f t="shared" si="6"/>
        <v>HP</v>
      </c>
      <c r="M48" s="25" t="str">
        <f t="shared" si="8"/>
        <v>27"</v>
      </c>
    </row>
    <row r="49" spans="1:13">
      <c r="A49" s="23">
        <v>45665</v>
      </c>
      <c r="B49" t="s">
        <v>24</v>
      </c>
      <c r="C49" s="1">
        <v>3</v>
      </c>
      <c r="D49" s="3">
        <f t="shared" si="9"/>
        <v>293583</v>
      </c>
      <c r="E49" s="3">
        <f t="shared" si="7"/>
        <v>79267.41</v>
      </c>
      <c r="F49" s="3">
        <f t="shared" si="5"/>
        <v>372850.41000000003</v>
      </c>
      <c r="G49" t="s">
        <v>65</v>
      </c>
      <c r="H49" t="s">
        <v>107</v>
      </c>
      <c r="I49" s="3">
        <f t="shared" si="10"/>
        <v>85383</v>
      </c>
      <c r="J49" s="24">
        <f t="shared" si="11"/>
        <v>0.29083087235977562</v>
      </c>
      <c r="K49" s="24">
        <f t="shared" si="12"/>
        <v>0.41010086455331413</v>
      </c>
      <c r="L49" t="str">
        <f t="shared" si="6"/>
        <v>Dell</v>
      </c>
      <c r="M49" s="25" t="str">
        <f t="shared" si="8"/>
        <v>27"</v>
      </c>
    </row>
    <row r="50" spans="1:13">
      <c r="A50" s="23">
        <v>45666</v>
      </c>
      <c r="B50" t="s">
        <v>23</v>
      </c>
      <c r="C50" s="1">
        <v>3</v>
      </c>
      <c r="D50" s="3">
        <f t="shared" si="9"/>
        <v>213888</v>
      </c>
      <c r="E50" s="3">
        <f t="shared" si="7"/>
        <v>57749.760000000002</v>
      </c>
      <c r="F50" s="3">
        <f t="shared" si="5"/>
        <v>271637.76000000001</v>
      </c>
      <c r="G50" t="s">
        <v>65</v>
      </c>
      <c r="H50" t="s">
        <v>108</v>
      </c>
      <c r="I50" s="3">
        <f t="shared" si="10"/>
        <v>68088</v>
      </c>
      <c r="J50" s="24">
        <f t="shared" si="11"/>
        <v>0.31833482944344704</v>
      </c>
      <c r="K50" s="24">
        <f t="shared" si="12"/>
        <v>0.46699588477366255</v>
      </c>
      <c r="L50" t="str">
        <f t="shared" si="6"/>
        <v>Samsung</v>
      </c>
      <c r="M50" s="25" t="str">
        <f t="shared" si="8"/>
        <v>27"</v>
      </c>
    </row>
    <row r="51" spans="1:13">
      <c r="A51" s="23">
        <v>45666</v>
      </c>
      <c r="B51" t="s">
        <v>31</v>
      </c>
      <c r="C51" s="1">
        <v>1</v>
      </c>
      <c r="D51" s="3">
        <f t="shared" si="9"/>
        <v>85731</v>
      </c>
      <c r="E51" s="3">
        <f t="shared" si="7"/>
        <v>23147.370000000003</v>
      </c>
      <c r="F51" s="3">
        <f t="shared" si="5"/>
        <v>108878.37</v>
      </c>
      <c r="G51" t="s">
        <v>65</v>
      </c>
      <c r="H51" t="s">
        <v>109</v>
      </c>
      <c r="I51" s="3">
        <f t="shared" si="10"/>
        <v>25831</v>
      </c>
      <c r="J51" s="24">
        <f t="shared" si="11"/>
        <v>0.30130291259870989</v>
      </c>
      <c r="K51" s="24">
        <f t="shared" si="12"/>
        <v>0.43123539232053421</v>
      </c>
      <c r="L51" t="str">
        <f t="shared" si="6"/>
        <v>BenQ</v>
      </c>
      <c r="M51" s="25" t="str">
        <f t="shared" si="8"/>
        <v>32"</v>
      </c>
    </row>
    <row r="52" spans="1:13">
      <c r="A52" s="23">
        <v>45666</v>
      </c>
      <c r="B52" t="s">
        <v>19</v>
      </c>
      <c r="C52" s="1">
        <v>3</v>
      </c>
      <c r="D52" s="3">
        <f t="shared" si="9"/>
        <v>154020</v>
      </c>
      <c r="E52" s="3">
        <f t="shared" si="7"/>
        <v>41585.4</v>
      </c>
      <c r="F52" s="3">
        <f t="shared" si="5"/>
        <v>195605.4</v>
      </c>
      <c r="G52" t="s">
        <v>65</v>
      </c>
      <c r="H52" t="s">
        <v>110</v>
      </c>
      <c r="I52" s="3">
        <f t="shared" si="10"/>
        <v>52620</v>
      </c>
      <c r="J52" s="24">
        <f t="shared" si="11"/>
        <v>0.34164394234515</v>
      </c>
      <c r="K52" s="24">
        <f t="shared" si="12"/>
        <v>0.5189349112426036</v>
      </c>
      <c r="L52" t="str">
        <f t="shared" si="6"/>
        <v>ASUS</v>
      </c>
      <c r="M52" s="25" t="str">
        <f t="shared" si="8"/>
        <v>32"</v>
      </c>
    </row>
    <row r="53" spans="1:13">
      <c r="A53" s="23">
        <v>45666</v>
      </c>
      <c r="B53" t="s">
        <v>30</v>
      </c>
      <c r="C53" s="1">
        <v>1</v>
      </c>
      <c r="D53" s="3">
        <f t="shared" si="9"/>
        <v>86474</v>
      </c>
      <c r="E53" s="3">
        <f t="shared" si="7"/>
        <v>23347.980000000003</v>
      </c>
      <c r="F53" s="3">
        <f t="shared" si="5"/>
        <v>109821.98000000001</v>
      </c>
      <c r="G53" t="s">
        <v>62</v>
      </c>
      <c r="H53" t="s">
        <v>111</v>
      </c>
      <c r="I53" s="3">
        <f t="shared" si="10"/>
        <v>29074</v>
      </c>
      <c r="J53" s="24">
        <f t="shared" si="11"/>
        <v>0.33621666628119434</v>
      </c>
      <c r="K53" s="24">
        <f t="shared" si="12"/>
        <v>0.50651567944250875</v>
      </c>
      <c r="L53" t="str">
        <f t="shared" si="6"/>
        <v>Samsung</v>
      </c>
      <c r="M53" s="25" t="str">
        <f t="shared" si="8"/>
        <v>32"</v>
      </c>
    </row>
    <row r="54" spans="1:13">
      <c r="A54" s="23">
        <v>45666</v>
      </c>
      <c r="B54" t="s">
        <v>29</v>
      </c>
      <c r="C54" s="1">
        <v>5</v>
      </c>
      <c r="D54" s="3">
        <f t="shared" si="9"/>
        <v>311700</v>
      </c>
      <c r="E54" s="3">
        <f t="shared" si="7"/>
        <v>84159</v>
      </c>
      <c r="F54" s="3">
        <f t="shared" si="5"/>
        <v>395859</v>
      </c>
      <c r="G54" t="s">
        <v>65</v>
      </c>
      <c r="H54" t="s">
        <v>112</v>
      </c>
      <c r="I54" s="3">
        <f t="shared" si="10"/>
        <v>105700</v>
      </c>
      <c r="J54" s="24">
        <f t="shared" si="11"/>
        <v>0.33910811677895414</v>
      </c>
      <c r="K54" s="24">
        <f t="shared" si="12"/>
        <v>0.51310679611650489</v>
      </c>
      <c r="L54" t="str">
        <f t="shared" si="6"/>
        <v>LG</v>
      </c>
      <c r="M54" s="25" t="str">
        <f t="shared" si="8"/>
        <v>32"</v>
      </c>
    </row>
    <row r="55" spans="1:13" ht="13.2" customHeight="1">
      <c r="A55" s="23">
        <v>45666</v>
      </c>
      <c r="B55" t="s">
        <v>33</v>
      </c>
      <c r="C55" s="1">
        <v>4</v>
      </c>
      <c r="D55" s="3">
        <f t="shared" si="9"/>
        <v>210016</v>
      </c>
      <c r="E55" s="3">
        <f t="shared" si="7"/>
        <v>56704.320000000007</v>
      </c>
      <c r="F55" s="3">
        <f t="shared" si="5"/>
        <v>266720.32</v>
      </c>
      <c r="G55" t="s">
        <v>62</v>
      </c>
      <c r="H55" t="s">
        <v>113</v>
      </c>
      <c r="I55" s="3">
        <f t="shared" si="10"/>
        <v>67616</v>
      </c>
      <c r="J55" s="24">
        <f t="shared" si="11"/>
        <v>0.32195642236781957</v>
      </c>
      <c r="K55" s="24">
        <f t="shared" si="12"/>
        <v>0.47483146067415732</v>
      </c>
      <c r="L55" t="str">
        <f t="shared" si="6"/>
        <v>Samsung</v>
      </c>
      <c r="M55" s="25" t="str">
        <f t="shared" si="8"/>
        <v>32"</v>
      </c>
    </row>
    <row r="56" spans="1:13">
      <c r="A56" s="23">
        <v>45666</v>
      </c>
      <c r="B56" t="s">
        <v>35</v>
      </c>
      <c r="C56" s="1">
        <v>3</v>
      </c>
      <c r="D56" s="3">
        <f t="shared" si="9"/>
        <v>192042</v>
      </c>
      <c r="E56" s="3">
        <f t="shared" si="7"/>
        <v>51851.340000000004</v>
      </c>
      <c r="F56" s="3">
        <f t="shared" si="5"/>
        <v>243893.34</v>
      </c>
      <c r="G56" t="s">
        <v>62</v>
      </c>
      <c r="H56" t="s">
        <v>93</v>
      </c>
      <c r="I56" s="3">
        <f t="shared" si="10"/>
        <v>59142</v>
      </c>
      <c r="J56" s="24">
        <f t="shared" si="11"/>
        <v>0.30796388290061549</v>
      </c>
      <c r="K56" s="24">
        <f t="shared" si="12"/>
        <v>0.44501128668171558</v>
      </c>
      <c r="L56" t="str">
        <f t="shared" si="6"/>
        <v>ASUS</v>
      </c>
      <c r="M56" s="25" t="str">
        <f t="shared" si="8"/>
        <v>27"</v>
      </c>
    </row>
    <row r="57" spans="1:13">
      <c r="A57" s="23">
        <v>45666</v>
      </c>
      <c r="B57" t="s">
        <v>18</v>
      </c>
      <c r="C57" s="1">
        <v>2</v>
      </c>
      <c r="D57" s="3">
        <f t="shared" si="9"/>
        <v>189448</v>
      </c>
      <c r="E57" s="3">
        <f t="shared" si="7"/>
        <v>51150.960000000006</v>
      </c>
      <c r="F57" s="3">
        <f t="shared" si="5"/>
        <v>240598.96000000002</v>
      </c>
      <c r="G57" t="s">
        <v>65</v>
      </c>
      <c r="H57" t="s">
        <v>114</v>
      </c>
      <c r="I57" s="3">
        <f t="shared" si="10"/>
        <v>54448</v>
      </c>
      <c r="J57" s="24">
        <f t="shared" si="11"/>
        <v>0.28740340357248428</v>
      </c>
      <c r="K57" s="24">
        <f t="shared" si="12"/>
        <v>0.40331851851851852</v>
      </c>
      <c r="L57" t="str">
        <f t="shared" si="6"/>
        <v>Acer</v>
      </c>
      <c r="M57" s="25" t="str">
        <f t="shared" si="8"/>
        <v>24"</v>
      </c>
    </row>
    <row r="58" spans="1:13">
      <c r="A58" s="23">
        <v>45667</v>
      </c>
      <c r="B58" t="s">
        <v>36</v>
      </c>
      <c r="C58" s="1">
        <v>1</v>
      </c>
      <c r="D58" s="3">
        <f t="shared" si="9"/>
        <v>80751</v>
      </c>
      <c r="E58" s="3">
        <f t="shared" si="7"/>
        <v>21802.77</v>
      </c>
      <c r="F58" s="3">
        <f t="shared" si="5"/>
        <v>102553.77</v>
      </c>
      <c r="G58" t="s">
        <v>65</v>
      </c>
      <c r="H58" t="s">
        <v>115</v>
      </c>
      <c r="I58" s="3">
        <f t="shared" si="10"/>
        <v>24951</v>
      </c>
      <c r="J58" s="24">
        <f t="shared" si="11"/>
        <v>0.3089868856113237</v>
      </c>
      <c r="K58" s="24">
        <f t="shared" si="12"/>
        <v>0.4471505376344086</v>
      </c>
      <c r="L58" t="str">
        <f t="shared" si="6"/>
        <v>LG</v>
      </c>
      <c r="M58" s="25" t="str">
        <f t="shared" si="8"/>
        <v>24"</v>
      </c>
    </row>
    <row r="59" spans="1:13">
      <c r="A59" s="23">
        <v>45667</v>
      </c>
      <c r="B59" t="s">
        <v>21</v>
      </c>
      <c r="C59" s="1">
        <v>1</v>
      </c>
      <c r="D59" s="3">
        <f t="shared" si="9"/>
        <v>74578</v>
      </c>
      <c r="E59" s="3">
        <f t="shared" si="7"/>
        <v>20136.060000000001</v>
      </c>
      <c r="F59" s="3">
        <f t="shared" si="5"/>
        <v>94714.06</v>
      </c>
      <c r="G59" t="s">
        <v>65</v>
      </c>
      <c r="H59" t="s">
        <v>116</v>
      </c>
      <c r="I59" s="3">
        <f t="shared" si="10"/>
        <v>24278</v>
      </c>
      <c r="J59" s="24">
        <f t="shared" si="11"/>
        <v>0.32553836251977797</v>
      </c>
      <c r="K59" s="24">
        <f t="shared" si="12"/>
        <v>0.48266401590457259</v>
      </c>
      <c r="L59" t="str">
        <f t="shared" si="6"/>
        <v>ASUS</v>
      </c>
      <c r="M59" s="25" t="str">
        <f t="shared" si="8"/>
        <v>32"</v>
      </c>
    </row>
    <row r="60" spans="1:13">
      <c r="A60" s="23">
        <v>45667</v>
      </c>
      <c r="B60" t="s">
        <v>15</v>
      </c>
      <c r="C60" s="1">
        <v>1</v>
      </c>
      <c r="D60" s="3">
        <f t="shared" si="9"/>
        <v>99105</v>
      </c>
      <c r="E60" s="3">
        <f t="shared" si="7"/>
        <v>26758.350000000002</v>
      </c>
      <c r="F60" s="3">
        <f t="shared" si="5"/>
        <v>125863.35</v>
      </c>
      <c r="G60" t="s">
        <v>65</v>
      </c>
      <c r="H60" t="s">
        <v>117</v>
      </c>
      <c r="I60" s="3">
        <f t="shared" si="10"/>
        <v>27905</v>
      </c>
      <c r="J60" s="24">
        <f t="shared" si="11"/>
        <v>0.28157005196508755</v>
      </c>
      <c r="K60" s="24">
        <f t="shared" si="12"/>
        <v>0.39192415730337077</v>
      </c>
      <c r="L60" t="str">
        <f t="shared" si="6"/>
        <v>Dell</v>
      </c>
      <c r="M60" s="25" t="str">
        <f t="shared" si="8"/>
        <v>27"</v>
      </c>
    </row>
    <row r="61" spans="1:13">
      <c r="A61" s="23">
        <v>45667</v>
      </c>
      <c r="B61" t="s">
        <v>20</v>
      </c>
      <c r="C61" s="1">
        <v>3</v>
      </c>
      <c r="D61" s="3">
        <f t="shared" si="9"/>
        <v>241497</v>
      </c>
      <c r="E61" s="3">
        <f t="shared" si="7"/>
        <v>65204.19</v>
      </c>
      <c r="F61" s="3">
        <f t="shared" si="5"/>
        <v>306701.19</v>
      </c>
      <c r="G61" t="s">
        <v>62</v>
      </c>
      <c r="H61" t="s">
        <v>118</v>
      </c>
      <c r="I61" s="3">
        <f t="shared" si="10"/>
        <v>73197</v>
      </c>
      <c r="J61" s="24">
        <f t="shared" si="11"/>
        <v>0.3030969328811538</v>
      </c>
      <c r="K61" s="24">
        <f t="shared" si="12"/>
        <v>0.4349197860962567</v>
      </c>
      <c r="L61" t="str">
        <f t="shared" si="6"/>
        <v>HP</v>
      </c>
      <c r="M61" s="25" t="str">
        <f t="shared" si="8"/>
        <v>27"</v>
      </c>
    </row>
    <row r="62" spans="1:13">
      <c r="A62" s="23">
        <v>45667</v>
      </c>
      <c r="B62" t="s">
        <v>17</v>
      </c>
      <c r="C62" s="1">
        <v>4</v>
      </c>
      <c r="D62" s="3">
        <f t="shared" si="9"/>
        <v>254144</v>
      </c>
      <c r="E62" s="3">
        <f t="shared" si="7"/>
        <v>68618.880000000005</v>
      </c>
      <c r="F62" s="3">
        <f t="shared" si="5"/>
        <v>322762.88</v>
      </c>
      <c r="G62" t="s">
        <v>62</v>
      </c>
      <c r="H62" t="s">
        <v>119</v>
      </c>
      <c r="I62" s="3">
        <f t="shared" si="10"/>
        <v>82544</v>
      </c>
      <c r="J62" s="24">
        <f t="shared" si="11"/>
        <v>0.32479224376731303</v>
      </c>
      <c r="K62" s="24">
        <f t="shared" si="12"/>
        <v>0.48102564102564105</v>
      </c>
      <c r="L62" t="str">
        <f t="shared" si="6"/>
        <v>Samsung</v>
      </c>
      <c r="M62" s="25" t="str">
        <f t="shared" si="8"/>
        <v>24"</v>
      </c>
    </row>
    <row r="63" spans="1:13">
      <c r="A63" s="23">
        <v>45667</v>
      </c>
      <c r="B63" t="s">
        <v>32</v>
      </c>
      <c r="C63" s="1">
        <v>1</v>
      </c>
      <c r="D63" s="3">
        <f t="shared" si="9"/>
        <v>94247</v>
      </c>
      <c r="E63" s="3">
        <f t="shared" si="7"/>
        <v>25446.690000000002</v>
      </c>
      <c r="F63" s="3">
        <f t="shared" si="5"/>
        <v>119693.69</v>
      </c>
      <c r="G63" t="s">
        <v>62</v>
      </c>
      <c r="H63" t="s">
        <v>120</v>
      </c>
      <c r="I63" s="3">
        <f t="shared" si="10"/>
        <v>27547</v>
      </c>
      <c r="J63" s="24">
        <f t="shared" si="11"/>
        <v>0.29228516557556211</v>
      </c>
      <c r="K63" s="24">
        <f t="shared" si="12"/>
        <v>0.41299850074962519</v>
      </c>
      <c r="L63" t="str">
        <f t="shared" si="6"/>
        <v>LG</v>
      </c>
      <c r="M63" s="25" t="str">
        <f t="shared" si="8"/>
        <v>32"</v>
      </c>
    </row>
    <row r="64" spans="1:13">
      <c r="A64" s="23">
        <v>45667</v>
      </c>
      <c r="B64" t="s">
        <v>28</v>
      </c>
      <c r="C64" s="1">
        <v>3</v>
      </c>
      <c r="D64" s="3">
        <f t="shared" si="9"/>
        <v>266838</v>
      </c>
      <c r="E64" s="3">
        <f t="shared" si="7"/>
        <v>72046.260000000009</v>
      </c>
      <c r="F64" s="3">
        <f t="shared" si="5"/>
        <v>338884.26</v>
      </c>
      <c r="G64" t="s">
        <v>65</v>
      </c>
      <c r="H64" t="s">
        <v>121</v>
      </c>
      <c r="I64" s="3">
        <f t="shared" si="10"/>
        <v>80538</v>
      </c>
      <c r="J64" s="24">
        <f t="shared" si="11"/>
        <v>0.30182357835090956</v>
      </c>
      <c r="K64" s="24">
        <f t="shared" si="12"/>
        <v>0.43230273752012882</v>
      </c>
      <c r="L64" t="str">
        <f t="shared" si="6"/>
        <v>Samsung</v>
      </c>
      <c r="M64" s="25" t="str">
        <f t="shared" si="8"/>
        <v>27"</v>
      </c>
    </row>
    <row r="65" spans="1:17">
      <c r="A65" s="23">
        <v>45667</v>
      </c>
      <c r="B65" t="s">
        <v>14</v>
      </c>
      <c r="C65" s="1">
        <v>1</v>
      </c>
      <c r="D65" s="3">
        <f t="shared" si="9"/>
        <v>58708</v>
      </c>
      <c r="E65" s="3">
        <f t="shared" si="7"/>
        <v>15851.160000000002</v>
      </c>
      <c r="F65" s="3">
        <f t="shared" si="5"/>
        <v>74559.16</v>
      </c>
      <c r="G65" t="s">
        <v>65</v>
      </c>
      <c r="H65" t="s">
        <v>117</v>
      </c>
      <c r="I65" s="3">
        <f t="shared" si="10"/>
        <v>19308</v>
      </c>
      <c r="J65" s="24">
        <f t="shared" si="11"/>
        <v>0.3288819240989303</v>
      </c>
      <c r="K65" s="24">
        <f t="shared" si="12"/>
        <v>0.49005076142131981</v>
      </c>
      <c r="L65" t="str">
        <f t="shared" si="6"/>
        <v>Samsung</v>
      </c>
      <c r="M65" s="25" t="str">
        <f t="shared" si="8"/>
        <v>27"</v>
      </c>
      <c r="Q65" s="2"/>
    </row>
    <row r="66" spans="1:17">
      <c r="A66" s="23">
        <v>45667</v>
      </c>
      <c r="B66" t="s">
        <v>34</v>
      </c>
      <c r="C66" s="1">
        <v>5</v>
      </c>
      <c r="D66" s="3">
        <f t="shared" ref="D66:D97" si="13">VLOOKUP(B66,$O$2:$Q$26,2,0)*C66</f>
        <v>429205</v>
      </c>
      <c r="E66" s="3">
        <f t="shared" si="7"/>
        <v>115885.35</v>
      </c>
      <c r="F66" s="3">
        <f t="shared" si="5"/>
        <v>545090.35</v>
      </c>
      <c r="G66" t="s">
        <v>65</v>
      </c>
      <c r="H66" t="s">
        <v>122</v>
      </c>
      <c r="I66" s="3">
        <f t="shared" ref="I66:I97" si="14">D66-(VLOOKUP(B66,$O$2:$Q$27,3,FALSE)*C66)</f>
        <v>126705</v>
      </c>
      <c r="J66" s="24">
        <f t="shared" ref="J66:J97" si="15">I66/(VLOOKUP(B66,$O$2:$Q$26,2,FALSE)*C66)</f>
        <v>0.29520858331100525</v>
      </c>
      <c r="K66" s="24">
        <f t="shared" ref="K66:K97" si="16">I66/(VLOOKUP(B66,$O$2:$Q$26,3,FALSE)*C66)</f>
        <v>0.41885950413223139</v>
      </c>
      <c r="L66" t="str">
        <f t="shared" si="6"/>
        <v>Dell</v>
      </c>
      <c r="M66" s="25" t="str">
        <f t="shared" si="8"/>
        <v>24"</v>
      </c>
    </row>
    <row r="67" spans="1:17">
      <c r="A67" s="23">
        <v>45668</v>
      </c>
      <c r="B67" t="s">
        <v>36</v>
      </c>
      <c r="C67" s="1">
        <v>2</v>
      </c>
      <c r="D67" s="3">
        <f t="shared" si="13"/>
        <v>161502</v>
      </c>
      <c r="E67" s="3">
        <f t="shared" si="7"/>
        <v>43605.54</v>
      </c>
      <c r="F67" s="3">
        <f t="shared" ref="F67:F130" si="17">D67+E67</f>
        <v>205107.54</v>
      </c>
      <c r="G67" t="s">
        <v>65</v>
      </c>
      <c r="H67" t="s">
        <v>123</v>
      </c>
      <c r="I67" s="3">
        <f t="shared" si="14"/>
        <v>49902</v>
      </c>
      <c r="J67" s="24">
        <f t="shared" si="15"/>
        <v>0.3089868856113237</v>
      </c>
      <c r="K67" s="24">
        <f t="shared" si="16"/>
        <v>0.4471505376344086</v>
      </c>
      <c r="L67" t="str">
        <f t="shared" ref="L67:L130" si="18">LEFT(B67, FIND(" ", B67)-1)</f>
        <v>LG</v>
      </c>
      <c r="M67" s="25" t="str">
        <f t="shared" si="8"/>
        <v>24"</v>
      </c>
    </row>
    <row r="68" spans="1:17">
      <c r="A68" s="23">
        <v>45668</v>
      </c>
      <c r="B68" t="s">
        <v>25</v>
      </c>
      <c r="C68" s="1">
        <v>3</v>
      </c>
      <c r="D68" s="3">
        <f t="shared" si="13"/>
        <v>264381</v>
      </c>
      <c r="E68" s="3">
        <f t="shared" ref="E68:E131" si="19">D68 *27%</f>
        <v>71382.87000000001</v>
      </c>
      <c r="F68" s="3">
        <f t="shared" si="17"/>
        <v>335763.87</v>
      </c>
      <c r="G68" t="s">
        <v>62</v>
      </c>
      <c r="H68" t="s">
        <v>124</v>
      </c>
      <c r="I68" s="3">
        <f t="shared" si="14"/>
        <v>81981</v>
      </c>
      <c r="J68" s="24">
        <f t="shared" si="15"/>
        <v>0.31008657959535668</v>
      </c>
      <c r="K68" s="24">
        <f t="shared" si="16"/>
        <v>0.44945723684210526</v>
      </c>
      <c r="L68" t="str">
        <f t="shared" si="18"/>
        <v>Samsung</v>
      </c>
      <c r="M68" s="25" t="str">
        <f t="shared" si="8"/>
        <v>24"</v>
      </c>
    </row>
    <row r="69" spans="1:17">
      <c r="A69" s="23">
        <v>45668</v>
      </c>
      <c r="B69" t="s">
        <v>35</v>
      </c>
      <c r="C69" s="1">
        <v>3</v>
      </c>
      <c r="D69" s="3">
        <f t="shared" si="13"/>
        <v>192042</v>
      </c>
      <c r="E69" s="3">
        <f t="shared" si="19"/>
        <v>51851.340000000004</v>
      </c>
      <c r="F69" s="3">
        <f t="shared" si="17"/>
        <v>243893.34</v>
      </c>
      <c r="G69" t="s">
        <v>62</v>
      </c>
      <c r="H69" t="s">
        <v>125</v>
      </c>
      <c r="I69" s="3">
        <f t="shared" si="14"/>
        <v>59142</v>
      </c>
      <c r="J69" s="24">
        <f t="shared" si="15"/>
        <v>0.30796388290061549</v>
      </c>
      <c r="K69" s="24">
        <f t="shared" si="16"/>
        <v>0.44501128668171558</v>
      </c>
      <c r="L69" t="str">
        <f t="shared" si="18"/>
        <v>ASUS</v>
      </c>
      <c r="M69" s="25" t="str">
        <f t="shared" si="8"/>
        <v>27"</v>
      </c>
    </row>
    <row r="70" spans="1:17">
      <c r="A70" s="23">
        <v>45668</v>
      </c>
      <c r="B70" t="s">
        <v>27</v>
      </c>
      <c r="C70" s="1">
        <v>2</v>
      </c>
      <c r="D70" s="3">
        <f t="shared" si="13"/>
        <v>122070</v>
      </c>
      <c r="E70" s="3">
        <f t="shared" si="19"/>
        <v>32958.9</v>
      </c>
      <c r="F70" s="3">
        <f t="shared" si="17"/>
        <v>155028.9</v>
      </c>
      <c r="G70" t="s">
        <v>62</v>
      </c>
      <c r="H70" t="s">
        <v>126</v>
      </c>
      <c r="I70" s="3">
        <f t="shared" si="14"/>
        <v>41670</v>
      </c>
      <c r="J70" s="24">
        <f t="shared" si="15"/>
        <v>0.34136151388547553</v>
      </c>
      <c r="K70" s="24">
        <f t="shared" si="16"/>
        <v>0.51828358208955227</v>
      </c>
      <c r="L70" t="str">
        <f t="shared" si="18"/>
        <v>HP</v>
      </c>
      <c r="M70" s="25" t="str">
        <f t="shared" si="8"/>
        <v>27"</v>
      </c>
    </row>
    <row r="71" spans="1:17">
      <c r="A71" s="23">
        <v>45668</v>
      </c>
      <c r="B71" t="s">
        <v>24</v>
      </c>
      <c r="C71" s="1">
        <v>1</v>
      </c>
      <c r="D71" s="3">
        <f t="shared" si="13"/>
        <v>97861</v>
      </c>
      <c r="E71" s="3">
        <f t="shared" si="19"/>
        <v>26422.47</v>
      </c>
      <c r="F71" s="3">
        <f t="shared" si="17"/>
        <v>124283.47</v>
      </c>
      <c r="G71" t="s">
        <v>65</v>
      </c>
      <c r="H71" t="s">
        <v>75</v>
      </c>
      <c r="I71" s="3">
        <f t="shared" si="14"/>
        <v>28461</v>
      </c>
      <c r="J71" s="24">
        <f t="shared" si="15"/>
        <v>0.29083087235977562</v>
      </c>
      <c r="K71" s="24">
        <f t="shared" si="16"/>
        <v>0.41010086455331413</v>
      </c>
      <c r="L71" t="str">
        <f t="shared" si="18"/>
        <v>Dell</v>
      </c>
      <c r="M71" s="25" t="str">
        <f t="shared" si="8"/>
        <v>27"</v>
      </c>
    </row>
    <row r="72" spans="1:17">
      <c r="A72" s="23">
        <v>45669</v>
      </c>
      <c r="B72" t="s">
        <v>26</v>
      </c>
      <c r="C72" s="1">
        <v>3</v>
      </c>
      <c r="D72" s="3">
        <f t="shared" si="13"/>
        <v>265047</v>
      </c>
      <c r="E72" s="3">
        <f t="shared" si="19"/>
        <v>71562.69</v>
      </c>
      <c r="F72" s="3">
        <f t="shared" si="17"/>
        <v>336609.69</v>
      </c>
      <c r="G72" t="s">
        <v>65</v>
      </c>
      <c r="H72" t="s">
        <v>123</v>
      </c>
      <c r="I72" s="3">
        <f t="shared" si="14"/>
        <v>79947</v>
      </c>
      <c r="J72" s="24">
        <f t="shared" si="15"/>
        <v>0.30163329522688431</v>
      </c>
      <c r="K72" s="24">
        <f t="shared" si="16"/>
        <v>0.4319124797406807</v>
      </c>
      <c r="L72" t="str">
        <f t="shared" si="18"/>
        <v>LG</v>
      </c>
      <c r="M72" s="25" t="str">
        <f t="shared" si="8"/>
        <v>27"</v>
      </c>
    </row>
    <row r="73" spans="1:17">
      <c r="A73" s="23">
        <v>45669</v>
      </c>
      <c r="B73" t="s">
        <v>22</v>
      </c>
      <c r="C73" s="1">
        <v>1</v>
      </c>
      <c r="D73" s="3">
        <f t="shared" si="13"/>
        <v>96782</v>
      </c>
      <c r="E73" s="3">
        <f t="shared" si="19"/>
        <v>26131.140000000003</v>
      </c>
      <c r="F73" s="3">
        <f t="shared" si="17"/>
        <v>122913.14</v>
      </c>
      <c r="G73" t="s">
        <v>62</v>
      </c>
      <c r="H73" t="s">
        <v>127</v>
      </c>
      <c r="I73" s="3">
        <f t="shared" si="14"/>
        <v>28482</v>
      </c>
      <c r="J73" s="24">
        <f t="shared" si="15"/>
        <v>0.29429026058564611</v>
      </c>
      <c r="K73" s="24">
        <f t="shared" si="16"/>
        <v>0.41701317715959002</v>
      </c>
      <c r="L73" t="str">
        <f t="shared" si="18"/>
        <v>Acer</v>
      </c>
      <c r="M73" s="25" t="str">
        <f t="shared" ref="M73:M136" si="20">_xlfn.TEXTAFTER(B73," ",-1)</f>
        <v>27"</v>
      </c>
    </row>
    <row r="74" spans="1:17">
      <c r="A74" s="23">
        <v>45669</v>
      </c>
      <c r="B74" t="s">
        <v>33</v>
      </c>
      <c r="C74" s="1">
        <v>4</v>
      </c>
      <c r="D74" s="3">
        <f t="shared" si="13"/>
        <v>210016</v>
      </c>
      <c r="E74" s="3">
        <f t="shared" si="19"/>
        <v>56704.320000000007</v>
      </c>
      <c r="F74" s="3">
        <f t="shared" si="17"/>
        <v>266720.32</v>
      </c>
      <c r="G74" t="s">
        <v>62</v>
      </c>
      <c r="H74" t="s">
        <v>128</v>
      </c>
      <c r="I74" s="3">
        <f t="shared" si="14"/>
        <v>67616</v>
      </c>
      <c r="J74" s="24">
        <f t="shared" si="15"/>
        <v>0.32195642236781957</v>
      </c>
      <c r="K74" s="24">
        <f t="shared" si="16"/>
        <v>0.47483146067415732</v>
      </c>
      <c r="L74" t="str">
        <f t="shared" si="18"/>
        <v>Samsung</v>
      </c>
      <c r="M74" s="25" t="str">
        <f t="shared" si="20"/>
        <v>32"</v>
      </c>
    </row>
    <row r="75" spans="1:17">
      <c r="A75" s="23">
        <v>45669</v>
      </c>
      <c r="B75" t="s">
        <v>23</v>
      </c>
      <c r="C75" s="1">
        <v>3</v>
      </c>
      <c r="D75" s="3">
        <f t="shared" si="13"/>
        <v>213888</v>
      </c>
      <c r="E75" s="3">
        <f t="shared" si="19"/>
        <v>57749.760000000002</v>
      </c>
      <c r="F75" s="3">
        <f t="shared" si="17"/>
        <v>271637.76000000001</v>
      </c>
      <c r="G75" t="s">
        <v>65</v>
      </c>
      <c r="H75" t="s">
        <v>129</v>
      </c>
      <c r="I75" s="3">
        <f t="shared" si="14"/>
        <v>68088</v>
      </c>
      <c r="J75" s="24">
        <f t="shared" si="15"/>
        <v>0.31833482944344704</v>
      </c>
      <c r="K75" s="24">
        <f t="shared" si="16"/>
        <v>0.46699588477366255</v>
      </c>
      <c r="L75" t="str">
        <f t="shared" si="18"/>
        <v>Samsung</v>
      </c>
      <c r="M75" s="25" t="str">
        <f t="shared" si="20"/>
        <v>27"</v>
      </c>
    </row>
    <row r="76" spans="1:17">
      <c r="A76" s="23">
        <v>45670</v>
      </c>
      <c r="B76" t="s">
        <v>31</v>
      </c>
      <c r="C76" s="1">
        <v>4</v>
      </c>
      <c r="D76" s="3">
        <f t="shared" si="13"/>
        <v>342924</v>
      </c>
      <c r="E76" s="3">
        <f t="shared" si="19"/>
        <v>92589.48000000001</v>
      </c>
      <c r="F76" s="3">
        <f t="shared" si="17"/>
        <v>435513.48</v>
      </c>
      <c r="G76" t="s">
        <v>62</v>
      </c>
      <c r="H76" t="s">
        <v>66</v>
      </c>
      <c r="I76" s="3">
        <f t="shared" si="14"/>
        <v>103324</v>
      </c>
      <c r="J76" s="24">
        <f t="shared" si="15"/>
        <v>0.30130291259870989</v>
      </c>
      <c r="K76" s="24">
        <f t="shared" si="16"/>
        <v>0.43123539232053421</v>
      </c>
      <c r="L76" t="str">
        <f t="shared" si="18"/>
        <v>BenQ</v>
      </c>
      <c r="M76" s="25" t="str">
        <f t="shared" si="20"/>
        <v>32"</v>
      </c>
    </row>
    <row r="77" spans="1:17">
      <c r="A77" s="23">
        <v>45670</v>
      </c>
      <c r="B77" t="s">
        <v>19</v>
      </c>
      <c r="C77" s="1">
        <v>1</v>
      </c>
      <c r="D77" s="3">
        <f t="shared" si="13"/>
        <v>51340</v>
      </c>
      <c r="E77" s="3">
        <f t="shared" si="19"/>
        <v>13861.800000000001</v>
      </c>
      <c r="F77" s="3">
        <f t="shared" si="17"/>
        <v>65201.8</v>
      </c>
      <c r="G77" t="s">
        <v>65</v>
      </c>
      <c r="H77" t="s">
        <v>130</v>
      </c>
      <c r="I77" s="3">
        <f t="shared" si="14"/>
        <v>17540</v>
      </c>
      <c r="J77" s="24">
        <f t="shared" si="15"/>
        <v>0.34164394234515</v>
      </c>
      <c r="K77" s="24">
        <f t="shared" si="16"/>
        <v>0.5189349112426036</v>
      </c>
      <c r="L77" t="str">
        <f t="shared" si="18"/>
        <v>ASUS</v>
      </c>
      <c r="M77" s="25" t="str">
        <f t="shared" si="20"/>
        <v>32"</v>
      </c>
    </row>
    <row r="78" spans="1:17">
      <c r="A78" s="23">
        <v>45670</v>
      </c>
      <c r="B78" t="s">
        <v>29</v>
      </c>
      <c r="C78" s="1">
        <v>2</v>
      </c>
      <c r="D78" s="3">
        <f t="shared" si="13"/>
        <v>124680</v>
      </c>
      <c r="E78" s="3">
        <f t="shared" si="19"/>
        <v>33663.600000000006</v>
      </c>
      <c r="F78" s="3">
        <f t="shared" si="17"/>
        <v>158343.6</v>
      </c>
      <c r="G78" t="s">
        <v>62</v>
      </c>
      <c r="H78" t="s">
        <v>131</v>
      </c>
      <c r="I78" s="3">
        <f t="shared" si="14"/>
        <v>42280</v>
      </c>
      <c r="J78" s="24">
        <f t="shared" si="15"/>
        <v>0.33910811677895414</v>
      </c>
      <c r="K78" s="24">
        <f t="shared" si="16"/>
        <v>0.51310679611650489</v>
      </c>
      <c r="L78" t="str">
        <f t="shared" si="18"/>
        <v>LG</v>
      </c>
      <c r="M78" s="25" t="str">
        <f t="shared" si="20"/>
        <v>32"</v>
      </c>
    </row>
    <row r="79" spans="1:17">
      <c r="A79" s="23">
        <v>45670</v>
      </c>
      <c r="B79" t="s">
        <v>30</v>
      </c>
      <c r="C79" s="1">
        <v>1</v>
      </c>
      <c r="D79" s="3">
        <f t="shared" si="13"/>
        <v>86474</v>
      </c>
      <c r="E79" s="3">
        <f t="shared" si="19"/>
        <v>23347.980000000003</v>
      </c>
      <c r="F79" s="3">
        <f t="shared" si="17"/>
        <v>109821.98000000001</v>
      </c>
      <c r="G79" t="s">
        <v>62</v>
      </c>
      <c r="H79" t="s">
        <v>88</v>
      </c>
      <c r="I79" s="3">
        <f t="shared" si="14"/>
        <v>29074</v>
      </c>
      <c r="J79" s="24">
        <f t="shared" si="15"/>
        <v>0.33621666628119434</v>
      </c>
      <c r="K79" s="24">
        <f t="shared" si="16"/>
        <v>0.50651567944250875</v>
      </c>
      <c r="L79" t="str">
        <f t="shared" si="18"/>
        <v>Samsung</v>
      </c>
      <c r="M79" s="25" t="str">
        <f t="shared" si="20"/>
        <v>32"</v>
      </c>
    </row>
    <row r="80" spans="1:17">
      <c r="A80" s="23">
        <v>45670</v>
      </c>
      <c r="B80" t="s">
        <v>33</v>
      </c>
      <c r="C80" s="1">
        <v>4</v>
      </c>
      <c r="D80" s="3">
        <f t="shared" si="13"/>
        <v>210016</v>
      </c>
      <c r="E80" s="3">
        <f t="shared" si="19"/>
        <v>56704.320000000007</v>
      </c>
      <c r="F80" s="3">
        <f t="shared" si="17"/>
        <v>266720.32</v>
      </c>
      <c r="G80" t="s">
        <v>65</v>
      </c>
      <c r="H80" t="s">
        <v>89</v>
      </c>
      <c r="I80" s="3">
        <f t="shared" si="14"/>
        <v>67616</v>
      </c>
      <c r="J80" s="24">
        <f t="shared" si="15"/>
        <v>0.32195642236781957</v>
      </c>
      <c r="K80" s="24">
        <f t="shared" si="16"/>
        <v>0.47483146067415732</v>
      </c>
      <c r="L80" t="str">
        <f t="shared" si="18"/>
        <v>Samsung</v>
      </c>
      <c r="M80" s="25" t="str">
        <f t="shared" si="20"/>
        <v>32"</v>
      </c>
    </row>
    <row r="81" spans="1:13">
      <c r="A81" s="23">
        <v>45671</v>
      </c>
      <c r="B81" t="s">
        <v>35</v>
      </c>
      <c r="C81" s="1">
        <v>1</v>
      </c>
      <c r="D81" s="3">
        <f t="shared" si="13"/>
        <v>64014</v>
      </c>
      <c r="E81" s="3">
        <f t="shared" si="19"/>
        <v>17283.780000000002</v>
      </c>
      <c r="F81" s="3">
        <f t="shared" si="17"/>
        <v>81297.78</v>
      </c>
      <c r="G81" t="s">
        <v>62</v>
      </c>
      <c r="H81" t="s">
        <v>117</v>
      </c>
      <c r="I81" s="3">
        <f t="shared" si="14"/>
        <v>19714</v>
      </c>
      <c r="J81" s="24">
        <f t="shared" si="15"/>
        <v>0.30796388290061549</v>
      </c>
      <c r="K81" s="24">
        <f t="shared" si="16"/>
        <v>0.44501128668171558</v>
      </c>
      <c r="L81" t="str">
        <f t="shared" si="18"/>
        <v>ASUS</v>
      </c>
      <c r="M81" s="25" t="str">
        <f t="shared" si="20"/>
        <v>27"</v>
      </c>
    </row>
    <row r="82" spans="1:13">
      <c r="A82" s="23">
        <v>45671</v>
      </c>
      <c r="B82" t="s">
        <v>18</v>
      </c>
      <c r="C82" s="1">
        <v>1</v>
      </c>
      <c r="D82" s="3">
        <f t="shared" si="13"/>
        <v>94724</v>
      </c>
      <c r="E82" s="3">
        <f t="shared" si="19"/>
        <v>25575.480000000003</v>
      </c>
      <c r="F82" s="3">
        <f t="shared" si="17"/>
        <v>120299.48000000001</v>
      </c>
      <c r="G82" t="s">
        <v>62</v>
      </c>
      <c r="H82" t="s">
        <v>120</v>
      </c>
      <c r="I82" s="3">
        <f t="shared" si="14"/>
        <v>27224</v>
      </c>
      <c r="J82" s="24">
        <f t="shared" si="15"/>
        <v>0.28740340357248428</v>
      </c>
      <c r="K82" s="24">
        <f t="shared" si="16"/>
        <v>0.40331851851851852</v>
      </c>
      <c r="L82" t="str">
        <f t="shared" si="18"/>
        <v>Acer</v>
      </c>
      <c r="M82" s="25" t="str">
        <f t="shared" si="20"/>
        <v>24"</v>
      </c>
    </row>
    <row r="83" spans="1:13">
      <c r="A83" s="23">
        <v>45671</v>
      </c>
      <c r="B83" t="s">
        <v>36</v>
      </c>
      <c r="C83" s="1">
        <v>4</v>
      </c>
      <c r="D83" s="3">
        <f t="shared" si="13"/>
        <v>323004</v>
      </c>
      <c r="E83" s="3">
        <f t="shared" si="19"/>
        <v>87211.08</v>
      </c>
      <c r="F83" s="3">
        <f t="shared" si="17"/>
        <v>410215.08</v>
      </c>
      <c r="G83" t="s">
        <v>62</v>
      </c>
      <c r="H83" t="s">
        <v>81</v>
      </c>
      <c r="I83" s="3">
        <f t="shared" si="14"/>
        <v>99804</v>
      </c>
      <c r="J83" s="24">
        <f t="shared" si="15"/>
        <v>0.3089868856113237</v>
      </c>
      <c r="K83" s="24">
        <f t="shared" si="16"/>
        <v>0.4471505376344086</v>
      </c>
      <c r="L83" t="str">
        <f t="shared" si="18"/>
        <v>LG</v>
      </c>
      <c r="M83" s="25" t="str">
        <f t="shared" si="20"/>
        <v>24"</v>
      </c>
    </row>
    <row r="84" spans="1:13">
      <c r="A84" s="23">
        <v>45671</v>
      </c>
      <c r="B84" t="s">
        <v>21</v>
      </c>
      <c r="C84" s="1">
        <v>3</v>
      </c>
      <c r="D84" s="3">
        <f t="shared" si="13"/>
        <v>223734</v>
      </c>
      <c r="E84" s="3">
        <f t="shared" si="19"/>
        <v>60408.180000000008</v>
      </c>
      <c r="F84" s="3">
        <f t="shared" si="17"/>
        <v>284142.18</v>
      </c>
      <c r="G84" t="s">
        <v>65</v>
      </c>
      <c r="H84" t="s">
        <v>132</v>
      </c>
      <c r="I84" s="3">
        <f t="shared" si="14"/>
        <v>72834</v>
      </c>
      <c r="J84" s="24">
        <f t="shared" si="15"/>
        <v>0.32553836251977797</v>
      </c>
      <c r="K84" s="24">
        <f t="shared" si="16"/>
        <v>0.48266401590457259</v>
      </c>
      <c r="L84" t="str">
        <f t="shared" si="18"/>
        <v>ASUS</v>
      </c>
      <c r="M84" s="25" t="str">
        <f t="shared" si="20"/>
        <v>32"</v>
      </c>
    </row>
    <row r="85" spans="1:13">
      <c r="A85" s="23">
        <v>45671</v>
      </c>
      <c r="B85" t="s">
        <v>20</v>
      </c>
      <c r="C85" s="1">
        <v>1</v>
      </c>
      <c r="D85" s="3">
        <f t="shared" si="13"/>
        <v>80499</v>
      </c>
      <c r="E85" s="3">
        <f t="shared" si="19"/>
        <v>21734.730000000003</v>
      </c>
      <c r="F85" s="3">
        <f t="shared" si="17"/>
        <v>102233.73000000001</v>
      </c>
      <c r="G85" t="s">
        <v>62</v>
      </c>
      <c r="H85" t="s">
        <v>133</v>
      </c>
      <c r="I85" s="3">
        <f t="shared" si="14"/>
        <v>24399</v>
      </c>
      <c r="J85" s="24">
        <f t="shared" si="15"/>
        <v>0.3030969328811538</v>
      </c>
      <c r="K85" s="24">
        <f t="shared" si="16"/>
        <v>0.4349197860962567</v>
      </c>
      <c r="L85" t="str">
        <f t="shared" si="18"/>
        <v>HP</v>
      </c>
      <c r="M85" s="25" t="str">
        <f t="shared" si="20"/>
        <v>27"</v>
      </c>
    </row>
    <row r="86" spans="1:13">
      <c r="A86" s="23">
        <v>45671</v>
      </c>
      <c r="B86" t="s">
        <v>15</v>
      </c>
      <c r="C86" s="1">
        <v>2</v>
      </c>
      <c r="D86" s="3">
        <f t="shared" si="13"/>
        <v>198210</v>
      </c>
      <c r="E86" s="3">
        <f t="shared" si="19"/>
        <v>53516.700000000004</v>
      </c>
      <c r="F86" s="3">
        <f t="shared" si="17"/>
        <v>251726.7</v>
      </c>
      <c r="G86" t="s">
        <v>62</v>
      </c>
      <c r="H86" t="s">
        <v>134</v>
      </c>
      <c r="I86" s="3">
        <f t="shared" si="14"/>
        <v>55810</v>
      </c>
      <c r="J86" s="24">
        <f t="shared" si="15"/>
        <v>0.28157005196508755</v>
      </c>
      <c r="K86" s="24">
        <f t="shared" si="16"/>
        <v>0.39192415730337077</v>
      </c>
      <c r="L86" t="str">
        <f t="shared" si="18"/>
        <v>Dell</v>
      </c>
      <c r="M86" s="25" t="str">
        <f t="shared" si="20"/>
        <v>27"</v>
      </c>
    </row>
    <row r="87" spans="1:13">
      <c r="A87" s="23">
        <v>45671</v>
      </c>
      <c r="B87" t="s">
        <v>17</v>
      </c>
      <c r="C87" s="1">
        <v>1</v>
      </c>
      <c r="D87" s="3">
        <f t="shared" si="13"/>
        <v>63536</v>
      </c>
      <c r="E87" s="3">
        <f t="shared" si="19"/>
        <v>17154.72</v>
      </c>
      <c r="F87" s="3">
        <f t="shared" si="17"/>
        <v>80690.720000000001</v>
      </c>
      <c r="G87" t="s">
        <v>65</v>
      </c>
      <c r="H87" t="s">
        <v>135</v>
      </c>
      <c r="I87" s="3">
        <f t="shared" si="14"/>
        <v>20636</v>
      </c>
      <c r="J87" s="24">
        <f t="shared" si="15"/>
        <v>0.32479224376731303</v>
      </c>
      <c r="K87" s="24">
        <f t="shared" si="16"/>
        <v>0.48102564102564105</v>
      </c>
      <c r="L87" t="str">
        <f t="shared" si="18"/>
        <v>Samsung</v>
      </c>
      <c r="M87" s="25" t="str">
        <f t="shared" si="20"/>
        <v>24"</v>
      </c>
    </row>
    <row r="88" spans="1:13">
      <c r="A88" s="23">
        <v>45672</v>
      </c>
      <c r="B88" t="s">
        <v>28</v>
      </c>
      <c r="C88" s="1">
        <v>2</v>
      </c>
      <c r="D88" s="3">
        <f t="shared" si="13"/>
        <v>177892</v>
      </c>
      <c r="E88" s="3">
        <f t="shared" si="19"/>
        <v>48030.840000000004</v>
      </c>
      <c r="F88" s="3">
        <f t="shared" si="17"/>
        <v>225922.84</v>
      </c>
      <c r="G88" t="s">
        <v>65</v>
      </c>
      <c r="H88" t="s">
        <v>136</v>
      </c>
      <c r="I88" s="3">
        <f t="shared" si="14"/>
        <v>53692</v>
      </c>
      <c r="J88" s="24">
        <f t="shared" si="15"/>
        <v>0.30182357835090956</v>
      </c>
      <c r="K88" s="24">
        <f t="shared" si="16"/>
        <v>0.43230273752012882</v>
      </c>
      <c r="L88" t="str">
        <f t="shared" si="18"/>
        <v>Samsung</v>
      </c>
      <c r="M88" s="25" t="str">
        <f t="shared" si="20"/>
        <v>27"</v>
      </c>
    </row>
    <row r="89" spans="1:13">
      <c r="A89" s="23">
        <v>45672</v>
      </c>
      <c r="B89" t="s">
        <v>32</v>
      </c>
      <c r="C89" s="1">
        <v>4</v>
      </c>
      <c r="D89" s="3">
        <f t="shared" si="13"/>
        <v>376988</v>
      </c>
      <c r="E89" s="3">
        <f t="shared" si="19"/>
        <v>101786.76000000001</v>
      </c>
      <c r="F89" s="3">
        <f t="shared" si="17"/>
        <v>478774.76</v>
      </c>
      <c r="G89" t="s">
        <v>62</v>
      </c>
      <c r="H89" t="s">
        <v>137</v>
      </c>
      <c r="I89" s="3">
        <f t="shared" si="14"/>
        <v>110188</v>
      </c>
      <c r="J89" s="24">
        <f t="shared" si="15"/>
        <v>0.29228516557556211</v>
      </c>
      <c r="K89" s="24">
        <f t="shared" si="16"/>
        <v>0.41299850074962519</v>
      </c>
      <c r="L89" t="str">
        <f t="shared" si="18"/>
        <v>LG</v>
      </c>
      <c r="M89" s="25" t="str">
        <f t="shared" si="20"/>
        <v>32"</v>
      </c>
    </row>
    <row r="90" spans="1:13">
      <c r="A90" s="23">
        <v>45672</v>
      </c>
      <c r="B90" t="s">
        <v>14</v>
      </c>
      <c r="C90" s="1">
        <v>3</v>
      </c>
      <c r="D90" s="3">
        <f t="shared" si="13"/>
        <v>176124</v>
      </c>
      <c r="E90" s="3">
        <f t="shared" si="19"/>
        <v>47553.48</v>
      </c>
      <c r="F90" s="3">
        <f t="shared" si="17"/>
        <v>223677.48</v>
      </c>
      <c r="G90" t="s">
        <v>65</v>
      </c>
      <c r="H90" t="s">
        <v>138</v>
      </c>
      <c r="I90" s="3">
        <f t="shared" si="14"/>
        <v>57924</v>
      </c>
      <c r="J90" s="24">
        <f t="shared" si="15"/>
        <v>0.3288819240989303</v>
      </c>
      <c r="K90" s="24">
        <f t="shared" si="16"/>
        <v>0.49005076142131981</v>
      </c>
      <c r="L90" t="str">
        <f t="shared" si="18"/>
        <v>Samsung</v>
      </c>
      <c r="M90" s="25" t="str">
        <f t="shared" si="20"/>
        <v>27"</v>
      </c>
    </row>
    <row r="91" spans="1:13">
      <c r="A91" s="23">
        <v>45672</v>
      </c>
      <c r="B91" t="s">
        <v>34</v>
      </c>
      <c r="C91" s="1">
        <v>3</v>
      </c>
      <c r="D91" s="3">
        <f t="shared" si="13"/>
        <v>257523</v>
      </c>
      <c r="E91" s="3">
        <f t="shared" si="19"/>
        <v>69531.210000000006</v>
      </c>
      <c r="F91" s="3">
        <f t="shared" si="17"/>
        <v>327054.21000000002</v>
      </c>
      <c r="G91" t="s">
        <v>62</v>
      </c>
      <c r="H91" t="s">
        <v>72</v>
      </c>
      <c r="I91" s="3">
        <f t="shared" si="14"/>
        <v>76023</v>
      </c>
      <c r="J91" s="24">
        <f t="shared" si="15"/>
        <v>0.29520858331100525</v>
      </c>
      <c r="K91" s="24">
        <f t="shared" si="16"/>
        <v>0.41885950413223139</v>
      </c>
      <c r="L91" t="str">
        <f t="shared" si="18"/>
        <v>Dell</v>
      </c>
      <c r="M91" s="25" t="str">
        <f t="shared" si="20"/>
        <v>24"</v>
      </c>
    </row>
    <row r="92" spans="1:13">
      <c r="A92" s="23">
        <v>45672</v>
      </c>
      <c r="B92" t="s">
        <v>36</v>
      </c>
      <c r="C92" s="1">
        <v>2</v>
      </c>
      <c r="D92" s="3">
        <f t="shared" si="13"/>
        <v>161502</v>
      </c>
      <c r="E92" s="3">
        <f t="shared" si="19"/>
        <v>43605.54</v>
      </c>
      <c r="F92" s="3">
        <f t="shared" si="17"/>
        <v>205107.54</v>
      </c>
      <c r="G92" t="s">
        <v>65</v>
      </c>
      <c r="H92" t="s">
        <v>97</v>
      </c>
      <c r="I92" s="3">
        <f t="shared" si="14"/>
        <v>49902</v>
      </c>
      <c r="J92" s="24">
        <f t="shared" si="15"/>
        <v>0.3089868856113237</v>
      </c>
      <c r="K92" s="24">
        <f t="shared" si="16"/>
        <v>0.4471505376344086</v>
      </c>
      <c r="L92" t="str">
        <f t="shared" si="18"/>
        <v>LG</v>
      </c>
      <c r="M92" s="25" t="str">
        <f t="shared" si="20"/>
        <v>24"</v>
      </c>
    </row>
    <row r="93" spans="1:13">
      <c r="A93" s="23">
        <v>45672</v>
      </c>
      <c r="B93" t="s">
        <v>25</v>
      </c>
      <c r="C93" s="1">
        <v>1</v>
      </c>
      <c r="D93" s="3">
        <f t="shared" si="13"/>
        <v>88127</v>
      </c>
      <c r="E93" s="3">
        <f t="shared" si="19"/>
        <v>23794.29</v>
      </c>
      <c r="F93" s="3">
        <f t="shared" si="17"/>
        <v>111921.29000000001</v>
      </c>
      <c r="G93" t="s">
        <v>65</v>
      </c>
      <c r="H93" t="s">
        <v>82</v>
      </c>
      <c r="I93" s="3">
        <f t="shared" si="14"/>
        <v>27327</v>
      </c>
      <c r="J93" s="24">
        <f t="shared" si="15"/>
        <v>0.31008657959535668</v>
      </c>
      <c r="K93" s="24">
        <f t="shared" si="16"/>
        <v>0.44945723684210526</v>
      </c>
      <c r="L93" t="str">
        <f t="shared" si="18"/>
        <v>Samsung</v>
      </c>
      <c r="M93" s="25" t="str">
        <f t="shared" si="20"/>
        <v>24"</v>
      </c>
    </row>
    <row r="94" spans="1:13">
      <c r="A94" s="23">
        <v>45672</v>
      </c>
      <c r="B94" t="s">
        <v>35</v>
      </c>
      <c r="C94" s="1">
        <v>1</v>
      </c>
      <c r="D94" s="3">
        <f t="shared" si="13"/>
        <v>64014</v>
      </c>
      <c r="E94" s="3">
        <f t="shared" si="19"/>
        <v>17283.780000000002</v>
      </c>
      <c r="F94" s="3">
        <f t="shared" si="17"/>
        <v>81297.78</v>
      </c>
      <c r="G94" t="s">
        <v>62</v>
      </c>
      <c r="H94" t="s">
        <v>139</v>
      </c>
      <c r="I94" s="3">
        <f t="shared" si="14"/>
        <v>19714</v>
      </c>
      <c r="J94" s="24">
        <f t="shared" si="15"/>
        <v>0.30796388290061549</v>
      </c>
      <c r="K94" s="24">
        <f t="shared" si="16"/>
        <v>0.44501128668171558</v>
      </c>
      <c r="L94" t="str">
        <f t="shared" si="18"/>
        <v>ASUS</v>
      </c>
      <c r="M94" s="25" t="str">
        <f t="shared" si="20"/>
        <v>27"</v>
      </c>
    </row>
    <row r="95" spans="1:13">
      <c r="A95" s="23">
        <v>45672</v>
      </c>
      <c r="B95" t="s">
        <v>27</v>
      </c>
      <c r="C95" s="1">
        <v>2</v>
      </c>
      <c r="D95" s="3">
        <f t="shared" si="13"/>
        <v>122070</v>
      </c>
      <c r="E95" s="3">
        <f t="shared" si="19"/>
        <v>32958.9</v>
      </c>
      <c r="F95" s="3">
        <f t="shared" si="17"/>
        <v>155028.9</v>
      </c>
      <c r="G95" t="s">
        <v>62</v>
      </c>
      <c r="H95" t="s">
        <v>95</v>
      </c>
      <c r="I95" s="3">
        <f t="shared" si="14"/>
        <v>41670</v>
      </c>
      <c r="J95" s="24">
        <f t="shared" si="15"/>
        <v>0.34136151388547553</v>
      </c>
      <c r="K95" s="24">
        <f t="shared" si="16"/>
        <v>0.51828358208955227</v>
      </c>
      <c r="L95" t="str">
        <f t="shared" si="18"/>
        <v>HP</v>
      </c>
      <c r="M95" s="25" t="str">
        <f t="shared" si="20"/>
        <v>27"</v>
      </c>
    </row>
    <row r="96" spans="1:13">
      <c r="A96" s="23">
        <v>45672</v>
      </c>
      <c r="B96" t="s">
        <v>26</v>
      </c>
      <c r="C96" s="1">
        <v>2</v>
      </c>
      <c r="D96" s="3">
        <f t="shared" si="13"/>
        <v>176698</v>
      </c>
      <c r="E96" s="3">
        <f t="shared" si="19"/>
        <v>47708.460000000006</v>
      </c>
      <c r="F96" s="3">
        <f t="shared" si="17"/>
        <v>224406.46000000002</v>
      </c>
      <c r="G96" t="s">
        <v>65</v>
      </c>
      <c r="H96" t="s">
        <v>140</v>
      </c>
      <c r="I96" s="3">
        <f t="shared" si="14"/>
        <v>53298</v>
      </c>
      <c r="J96" s="24">
        <f t="shared" si="15"/>
        <v>0.30163329522688431</v>
      </c>
      <c r="K96" s="24">
        <f t="shared" si="16"/>
        <v>0.4319124797406807</v>
      </c>
      <c r="L96" t="str">
        <f t="shared" si="18"/>
        <v>LG</v>
      </c>
      <c r="M96" s="25" t="str">
        <f t="shared" si="20"/>
        <v>27"</v>
      </c>
    </row>
    <row r="97" spans="1:13">
      <c r="A97" s="23">
        <v>45673</v>
      </c>
      <c r="B97" t="s">
        <v>24</v>
      </c>
      <c r="C97" s="1">
        <v>3</v>
      </c>
      <c r="D97" s="3">
        <f t="shared" si="13"/>
        <v>293583</v>
      </c>
      <c r="E97" s="3">
        <f t="shared" si="19"/>
        <v>79267.41</v>
      </c>
      <c r="F97" s="3">
        <f t="shared" si="17"/>
        <v>372850.41000000003</v>
      </c>
      <c r="G97" t="s">
        <v>65</v>
      </c>
      <c r="H97" t="s">
        <v>141</v>
      </c>
      <c r="I97" s="3">
        <f t="shared" si="14"/>
        <v>85383</v>
      </c>
      <c r="J97" s="24">
        <f t="shared" si="15"/>
        <v>0.29083087235977562</v>
      </c>
      <c r="K97" s="24">
        <f t="shared" si="16"/>
        <v>0.41010086455331413</v>
      </c>
      <c r="L97" t="str">
        <f t="shared" si="18"/>
        <v>Dell</v>
      </c>
      <c r="M97" s="25" t="str">
        <f t="shared" si="20"/>
        <v>27"</v>
      </c>
    </row>
    <row r="98" spans="1:13">
      <c r="A98" s="23">
        <v>45673</v>
      </c>
      <c r="B98" t="s">
        <v>22</v>
      </c>
      <c r="C98" s="1">
        <v>4</v>
      </c>
      <c r="D98" s="3">
        <f t="shared" ref="D98:D129" si="21">VLOOKUP(B98,$O$2:$Q$26,2,0)*C98</f>
        <v>387128</v>
      </c>
      <c r="E98" s="3">
        <f t="shared" si="19"/>
        <v>104524.56000000001</v>
      </c>
      <c r="F98" s="3">
        <f t="shared" si="17"/>
        <v>491652.56</v>
      </c>
      <c r="G98" t="s">
        <v>65</v>
      </c>
      <c r="H98" t="s">
        <v>11</v>
      </c>
      <c r="I98" s="3">
        <f t="shared" ref="I98:I129" si="22">D98-(VLOOKUP(B98,$O$2:$Q$27,3,FALSE)*C98)</f>
        <v>113928</v>
      </c>
      <c r="J98" s="24">
        <f t="shared" ref="J98:J129" si="23">I98/(VLOOKUP(B98,$O$2:$Q$26,2,FALSE)*C98)</f>
        <v>0.29429026058564611</v>
      </c>
      <c r="K98" s="24">
        <f t="shared" ref="K98:K129" si="24">I98/(VLOOKUP(B98,$O$2:$Q$26,3,FALSE)*C98)</f>
        <v>0.41701317715959002</v>
      </c>
      <c r="L98" t="str">
        <f t="shared" si="18"/>
        <v>Acer</v>
      </c>
      <c r="M98" s="25" t="str">
        <f t="shared" si="20"/>
        <v>27"</v>
      </c>
    </row>
    <row r="99" spans="1:13">
      <c r="A99" s="23">
        <v>45673</v>
      </c>
      <c r="B99" t="s">
        <v>33</v>
      </c>
      <c r="C99" s="1">
        <v>1</v>
      </c>
      <c r="D99" s="3">
        <f t="shared" si="21"/>
        <v>52504</v>
      </c>
      <c r="E99" s="3">
        <f t="shared" si="19"/>
        <v>14176.080000000002</v>
      </c>
      <c r="F99" s="3">
        <f t="shared" si="17"/>
        <v>66680.08</v>
      </c>
      <c r="G99" t="s">
        <v>65</v>
      </c>
      <c r="H99" t="s">
        <v>142</v>
      </c>
      <c r="I99" s="3">
        <f t="shared" si="22"/>
        <v>16904</v>
      </c>
      <c r="J99" s="24">
        <f t="shared" si="23"/>
        <v>0.32195642236781957</v>
      </c>
      <c r="K99" s="24">
        <f t="shared" si="24"/>
        <v>0.47483146067415732</v>
      </c>
      <c r="L99" t="str">
        <f t="shared" si="18"/>
        <v>Samsung</v>
      </c>
      <c r="M99" s="25" t="str">
        <f t="shared" si="20"/>
        <v>32"</v>
      </c>
    </row>
    <row r="100" spans="1:13">
      <c r="A100" s="23">
        <v>45673</v>
      </c>
      <c r="B100" t="s">
        <v>23</v>
      </c>
      <c r="C100" s="1">
        <v>2</v>
      </c>
      <c r="D100" s="3">
        <f t="shared" si="21"/>
        <v>142592</v>
      </c>
      <c r="E100" s="3">
        <f t="shared" si="19"/>
        <v>38499.840000000004</v>
      </c>
      <c r="F100" s="3">
        <f t="shared" si="17"/>
        <v>181091.84</v>
      </c>
      <c r="G100" t="s">
        <v>65</v>
      </c>
      <c r="H100" t="s">
        <v>11</v>
      </c>
      <c r="I100" s="3">
        <f t="shared" si="22"/>
        <v>45392</v>
      </c>
      <c r="J100" s="24">
        <f t="shared" si="23"/>
        <v>0.31833482944344704</v>
      </c>
      <c r="K100" s="24">
        <f t="shared" si="24"/>
        <v>0.46699588477366255</v>
      </c>
      <c r="L100" t="str">
        <f t="shared" si="18"/>
        <v>Samsung</v>
      </c>
      <c r="M100" s="25" t="str">
        <f t="shared" si="20"/>
        <v>27"</v>
      </c>
    </row>
    <row r="101" spans="1:13">
      <c r="A101" s="23">
        <v>45673</v>
      </c>
      <c r="B101" t="s">
        <v>31</v>
      </c>
      <c r="C101" s="1">
        <v>4</v>
      </c>
      <c r="D101" s="3">
        <f t="shared" si="21"/>
        <v>342924</v>
      </c>
      <c r="E101" s="3">
        <f t="shared" si="19"/>
        <v>92589.48000000001</v>
      </c>
      <c r="F101" s="3">
        <f t="shared" si="17"/>
        <v>435513.48</v>
      </c>
      <c r="G101" t="s">
        <v>65</v>
      </c>
      <c r="H101" t="s">
        <v>143</v>
      </c>
      <c r="I101" s="3">
        <f t="shared" si="22"/>
        <v>103324</v>
      </c>
      <c r="J101" s="24">
        <f t="shared" si="23"/>
        <v>0.30130291259870989</v>
      </c>
      <c r="K101" s="24">
        <f t="shared" si="24"/>
        <v>0.43123539232053421</v>
      </c>
      <c r="L101" t="str">
        <f t="shared" si="18"/>
        <v>BenQ</v>
      </c>
      <c r="M101" s="25" t="str">
        <f t="shared" si="20"/>
        <v>32"</v>
      </c>
    </row>
    <row r="102" spans="1:13">
      <c r="A102" s="23">
        <v>45673</v>
      </c>
      <c r="B102" t="s">
        <v>19</v>
      </c>
      <c r="C102" s="1">
        <v>3</v>
      </c>
      <c r="D102" s="3">
        <f t="shared" si="21"/>
        <v>154020</v>
      </c>
      <c r="E102" s="3">
        <f t="shared" si="19"/>
        <v>41585.4</v>
      </c>
      <c r="F102" s="3">
        <f t="shared" si="17"/>
        <v>195605.4</v>
      </c>
      <c r="G102" t="s">
        <v>65</v>
      </c>
      <c r="H102" t="s">
        <v>144</v>
      </c>
      <c r="I102" s="3">
        <f t="shared" si="22"/>
        <v>52620</v>
      </c>
      <c r="J102" s="24">
        <f t="shared" si="23"/>
        <v>0.34164394234515</v>
      </c>
      <c r="K102" s="24">
        <f t="shared" si="24"/>
        <v>0.5189349112426036</v>
      </c>
      <c r="L102" t="str">
        <f t="shared" si="18"/>
        <v>ASUS</v>
      </c>
      <c r="M102" s="25" t="str">
        <f t="shared" si="20"/>
        <v>32"</v>
      </c>
    </row>
    <row r="103" spans="1:13">
      <c r="A103" s="23">
        <v>45673</v>
      </c>
      <c r="B103" t="s">
        <v>29</v>
      </c>
      <c r="C103" s="1">
        <v>2</v>
      </c>
      <c r="D103" s="3">
        <f t="shared" si="21"/>
        <v>124680</v>
      </c>
      <c r="E103" s="3">
        <f t="shared" si="19"/>
        <v>33663.600000000006</v>
      </c>
      <c r="F103" s="3">
        <f t="shared" si="17"/>
        <v>158343.6</v>
      </c>
      <c r="G103" t="s">
        <v>65</v>
      </c>
      <c r="H103" t="s">
        <v>145</v>
      </c>
      <c r="I103" s="3">
        <f t="shared" si="22"/>
        <v>42280</v>
      </c>
      <c r="J103" s="24">
        <f t="shared" si="23"/>
        <v>0.33910811677895414</v>
      </c>
      <c r="K103" s="24">
        <f t="shared" si="24"/>
        <v>0.51310679611650489</v>
      </c>
      <c r="L103" t="str">
        <f t="shared" si="18"/>
        <v>LG</v>
      </c>
      <c r="M103" s="25" t="str">
        <f t="shared" si="20"/>
        <v>32"</v>
      </c>
    </row>
    <row r="104" spans="1:13">
      <c r="A104" s="23">
        <v>45673</v>
      </c>
      <c r="B104" t="s">
        <v>30</v>
      </c>
      <c r="C104" s="1">
        <v>3</v>
      </c>
      <c r="D104" s="3">
        <f t="shared" si="21"/>
        <v>259422</v>
      </c>
      <c r="E104" s="3">
        <f t="shared" si="19"/>
        <v>70043.94</v>
      </c>
      <c r="F104" s="3">
        <f t="shared" si="17"/>
        <v>329465.94</v>
      </c>
      <c r="G104" t="s">
        <v>62</v>
      </c>
      <c r="H104" t="s">
        <v>146</v>
      </c>
      <c r="I104" s="3">
        <f t="shared" si="22"/>
        <v>87222</v>
      </c>
      <c r="J104" s="24">
        <f t="shared" si="23"/>
        <v>0.33621666628119434</v>
      </c>
      <c r="K104" s="24">
        <f t="shared" si="24"/>
        <v>0.50651567944250875</v>
      </c>
      <c r="L104" t="str">
        <f t="shared" si="18"/>
        <v>Samsung</v>
      </c>
      <c r="M104" s="25" t="str">
        <f t="shared" si="20"/>
        <v>32"</v>
      </c>
    </row>
    <row r="105" spans="1:13">
      <c r="A105" s="23">
        <v>45673</v>
      </c>
      <c r="B105" t="s">
        <v>35</v>
      </c>
      <c r="C105" s="1">
        <v>3</v>
      </c>
      <c r="D105" s="3">
        <f t="shared" si="21"/>
        <v>192042</v>
      </c>
      <c r="E105" s="3">
        <f t="shared" si="19"/>
        <v>51851.340000000004</v>
      </c>
      <c r="F105" s="3">
        <f t="shared" si="17"/>
        <v>243893.34</v>
      </c>
      <c r="G105" t="s">
        <v>65</v>
      </c>
      <c r="H105" t="s">
        <v>147</v>
      </c>
      <c r="I105" s="3">
        <f t="shared" si="22"/>
        <v>59142</v>
      </c>
      <c r="J105" s="24">
        <f t="shared" si="23"/>
        <v>0.30796388290061549</v>
      </c>
      <c r="K105" s="24">
        <f t="shared" si="24"/>
        <v>0.44501128668171558</v>
      </c>
      <c r="L105" t="str">
        <f t="shared" si="18"/>
        <v>ASUS</v>
      </c>
      <c r="M105" s="25" t="str">
        <f t="shared" si="20"/>
        <v>27"</v>
      </c>
    </row>
    <row r="106" spans="1:13">
      <c r="A106" s="23">
        <v>45673</v>
      </c>
      <c r="B106" t="s">
        <v>33</v>
      </c>
      <c r="C106" s="1">
        <v>1</v>
      </c>
      <c r="D106" s="3">
        <f t="shared" si="21"/>
        <v>52504</v>
      </c>
      <c r="E106" s="3">
        <f t="shared" si="19"/>
        <v>14176.080000000002</v>
      </c>
      <c r="F106" s="3">
        <f t="shared" si="17"/>
        <v>66680.08</v>
      </c>
      <c r="G106" t="s">
        <v>65</v>
      </c>
      <c r="H106" t="s">
        <v>146</v>
      </c>
      <c r="I106" s="3">
        <f t="shared" si="22"/>
        <v>16904</v>
      </c>
      <c r="J106" s="24">
        <f t="shared" si="23"/>
        <v>0.32195642236781957</v>
      </c>
      <c r="K106" s="24">
        <f t="shared" si="24"/>
        <v>0.47483146067415732</v>
      </c>
      <c r="L106" t="str">
        <f t="shared" si="18"/>
        <v>Samsung</v>
      </c>
      <c r="M106" s="25" t="str">
        <f t="shared" si="20"/>
        <v>32"</v>
      </c>
    </row>
    <row r="107" spans="1:13">
      <c r="A107" s="23">
        <v>45674</v>
      </c>
      <c r="B107" t="s">
        <v>18</v>
      </c>
      <c r="C107" s="1">
        <v>1</v>
      </c>
      <c r="D107" s="3">
        <f t="shared" si="21"/>
        <v>94724</v>
      </c>
      <c r="E107" s="3">
        <f t="shared" si="19"/>
        <v>25575.480000000003</v>
      </c>
      <c r="F107" s="3">
        <f t="shared" si="17"/>
        <v>120299.48000000001</v>
      </c>
      <c r="G107" t="s">
        <v>65</v>
      </c>
      <c r="H107" t="s">
        <v>99</v>
      </c>
      <c r="I107" s="3">
        <f t="shared" si="22"/>
        <v>27224</v>
      </c>
      <c r="J107" s="24">
        <f t="shared" si="23"/>
        <v>0.28740340357248428</v>
      </c>
      <c r="K107" s="24">
        <f t="shared" si="24"/>
        <v>0.40331851851851852</v>
      </c>
      <c r="L107" t="str">
        <f t="shared" si="18"/>
        <v>Acer</v>
      </c>
      <c r="M107" s="25" t="str">
        <f t="shared" si="20"/>
        <v>24"</v>
      </c>
    </row>
    <row r="108" spans="1:13">
      <c r="A108" s="23">
        <v>45674</v>
      </c>
      <c r="B108" t="s">
        <v>36</v>
      </c>
      <c r="C108" s="1">
        <v>1</v>
      </c>
      <c r="D108" s="3">
        <f t="shared" si="21"/>
        <v>80751</v>
      </c>
      <c r="E108" s="3">
        <f t="shared" si="19"/>
        <v>21802.77</v>
      </c>
      <c r="F108" s="3">
        <f t="shared" si="17"/>
        <v>102553.77</v>
      </c>
      <c r="G108" t="s">
        <v>65</v>
      </c>
      <c r="H108" t="s">
        <v>148</v>
      </c>
      <c r="I108" s="3">
        <f t="shared" si="22"/>
        <v>24951</v>
      </c>
      <c r="J108" s="24">
        <f t="shared" si="23"/>
        <v>0.3089868856113237</v>
      </c>
      <c r="K108" s="24">
        <f t="shared" si="24"/>
        <v>0.4471505376344086</v>
      </c>
      <c r="L108" t="str">
        <f t="shared" si="18"/>
        <v>LG</v>
      </c>
      <c r="M108" s="25" t="str">
        <f t="shared" si="20"/>
        <v>24"</v>
      </c>
    </row>
    <row r="109" spans="1:13">
      <c r="A109" s="23">
        <v>45674</v>
      </c>
      <c r="B109" t="s">
        <v>21</v>
      </c>
      <c r="C109" s="1">
        <v>1</v>
      </c>
      <c r="D109" s="3">
        <f t="shared" si="21"/>
        <v>74578</v>
      </c>
      <c r="E109" s="3">
        <f t="shared" si="19"/>
        <v>20136.060000000001</v>
      </c>
      <c r="F109" s="3">
        <f t="shared" si="17"/>
        <v>94714.06</v>
      </c>
      <c r="G109" t="s">
        <v>65</v>
      </c>
      <c r="H109" t="s">
        <v>149</v>
      </c>
      <c r="I109" s="3">
        <f t="shared" si="22"/>
        <v>24278</v>
      </c>
      <c r="J109" s="24">
        <f t="shared" si="23"/>
        <v>0.32553836251977797</v>
      </c>
      <c r="K109" s="24">
        <f t="shared" si="24"/>
        <v>0.48266401590457259</v>
      </c>
      <c r="L109" t="str">
        <f t="shared" si="18"/>
        <v>ASUS</v>
      </c>
      <c r="M109" s="25" t="str">
        <f t="shared" si="20"/>
        <v>32"</v>
      </c>
    </row>
    <row r="110" spans="1:13">
      <c r="A110" s="23">
        <v>45674</v>
      </c>
      <c r="B110" t="s">
        <v>20</v>
      </c>
      <c r="C110" s="1">
        <v>1</v>
      </c>
      <c r="D110" s="3">
        <f t="shared" si="21"/>
        <v>80499</v>
      </c>
      <c r="E110" s="3">
        <f t="shared" si="19"/>
        <v>21734.730000000003</v>
      </c>
      <c r="F110" s="3">
        <f t="shared" si="17"/>
        <v>102233.73000000001</v>
      </c>
      <c r="G110" t="s">
        <v>62</v>
      </c>
      <c r="H110" t="s">
        <v>150</v>
      </c>
      <c r="I110" s="3">
        <f t="shared" si="22"/>
        <v>24399</v>
      </c>
      <c r="J110" s="24">
        <f t="shared" si="23"/>
        <v>0.3030969328811538</v>
      </c>
      <c r="K110" s="24">
        <f t="shared" si="24"/>
        <v>0.4349197860962567</v>
      </c>
      <c r="L110" t="str">
        <f t="shared" si="18"/>
        <v>HP</v>
      </c>
      <c r="M110" s="25" t="str">
        <f t="shared" si="20"/>
        <v>27"</v>
      </c>
    </row>
    <row r="111" spans="1:13">
      <c r="A111" s="23">
        <v>45674</v>
      </c>
      <c r="B111" t="s">
        <v>15</v>
      </c>
      <c r="C111" s="1">
        <v>1</v>
      </c>
      <c r="D111" s="3">
        <f t="shared" si="21"/>
        <v>99105</v>
      </c>
      <c r="E111" s="3">
        <f t="shared" si="19"/>
        <v>26758.350000000002</v>
      </c>
      <c r="F111" s="3">
        <f t="shared" si="17"/>
        <v>125863.35</v>
      </c>
      <c r="G111" t="s">
        <v>65</v>
      </c>
      <c r="H111" t="s">
        <v>64</v>
      </c>
      <c r="I111" s="3">
        <f t="shared" si="22"/>
        <v>27905</v>
      </c>
      <c r="J111" s="24">
        <f t="shared" si="23"/>
        <v>0.28157005196508755</v>
      </c>
      <c r="K111" s="24">
        <f t="shared" si="24"/>
        <v>0.39192415730337077</v>
      </c>
      <c r="L111" t="str">
        <f t="shared" si="18"/>
        <v>Dell</v>
      </c>
      <c r="M111" s="25" t="str">
        <f t="shared" si="20"/>
        <v>27"</v>
      </c>
    </row>
    <row r="112" spans="1:13">
      <c r="A112" s="23">
        <v>45675</v>
      </c>
      <c r="B112" t="s">
        <v>17</v>
      </c>
      <c r="C112" s="1">
        <v>3</v>
      </c>
      <c r="D112" s="3">
        <f t="shared" si="21"/>
        <v>190608</v>
      </c>
      <c r="E112" s="3">
        <f t="shared" si="19"/>
        <v>51464.160000000003</v>
      </c>
      <c r="F112" s="3">
        <f t="shared" si="17"/>
        <v>242072.16</v>
      </c>
      <c r="G112" t="s">
        <v>62</v>
      </c>
      <c r="H112" t="s">
        <v>151</v>
      </c>
      <c r="I112" s="3">
        <f t="shared" si="22"/>
        <v>61908</v>
      </c>
      <c r="J112" s="24">
        <f t="shared" si="23"/>
        <v>0.32479224376731303</v>
      </c>
      <c r="K112" s="24">
        <f t="shared" si="24"/>
        <v>0.48102564102564105</v>
      </c>
      <c r="L112" t="str">
        <f t="shared" si="18"/>
        <v>Samsung</v>
      </c>
      <c r="M112" s="25" t="str">
        <f t="shared" si="20"/>
        <v>24"</v>
      </c>
    </row>
    <row r="113" spans="1:13">
      <c r="A113" s="23">
        <v>45675</v>
      </c>
      <c r="B113" t="s">
        <v>28</v>
      </c>
      <c r="C113" s="1">
        <v>1</v>
      </c>
      <c r="D113" s="3">
        <f t="shared" si="21"/>
        <v>88946</v>
      </c>
      <c r="E113" s="3">
        <f t="shared" si="19"/>
        <v>24015.420000000002</v>
      </c>
      <c r="F113" s="3">
        <f t="shared" si="17"/>
        <v>112961.42</v>
      </c>
      <c r="G113" t="s">
        <v>65</v>
      </c>
      <c r="H113" t="s">
        <v>152</v>
      </c>
      <c r="I113" s="3">
        <f t="shared" si="22"/>
        <v>26846</v>
      </c>
      <c r="J113" s="24">
        <f t="shared" si="23"/>
        <v>0.30182357835090956</v>
      </c>
      <c r="K113" s="24">
        <f t="shared" si="24"/>
        <v>0.43230273752012882</v>
      </c>
      <c r="L113" t="str">
        <f t="shared" si="18"/>
        <v>Samsung</v>
      </c>
      <c r="M113" s="25" t="str">
        <f t="shared" si="20"/>
        <v>27"</v>
      </c>
    </row>
    <row r="114" spans="1:13">
      <c r="A114" s="23">
        <v>45675</v>
      </c>
      <c r="B114" t="s">
        <v>32</v>
      </c>
      <c r="C114" s="1">
        <v>3</v>
      </c>
      <c r="D114" s="3">
        <f t="shared" si="21"/>
        <v>282741</v>
      </c>
      <c r="E114" s="3">
        <f t="shared" si="19"/>
        <v>76340.070000000007</v>
      </c>
      <c r="F114" s="3">
        <f t="shared" si="17"/>
        <v>359081.07</v>
      </c>
      <c r="G114" t="s">
        <v>65</v>
      </c>
      <c r="H114" t="s">
        <v>118</v>
      </c>
      <c r="I114" s="3">
        <f t="shared" si="22"/>
        <v>82641</v>
      </c>
      <c r="J114" s="24">
        <f t="shared" si="23"/>
        <v>0.29228516557556211</v>
      </c>
      <c r="K114" s="24">
        <f t="shared" si="24"/>
        <v>0.41299850074962519</v>
      </c>
      <c r="L114" t="str">
        <f t="shared" si="18"/>
        <v>LG</v>
      </c>
      <c r="M114" s="25" t="str">
        <f t="shared" si="20"/>
        <v>32"</v>
      </c>
    </row>
    <row r="115" spans="1:13">
      <c r="A115" s="23">
        <v>45675</v>
      </c>
      <c r="B115" t="s">
        <v>34</v>
      </c>
      <c r="C115" s="1">
        <v>3</v>
      </c>
      <c r="D115" s="3">
        <f t="shared" si="21"/>
        <v>257523</v>
      </c>
      <c r="E115" s="3">
        <f t="shared" si="19"/>
        <v>69531.210000000006</v>
      </c>
      <c r="F115" s="3">
        <f t="shared" si="17"/>
        <v>327054.21000000002</v>
      </c>
      <c r="G115" t="s">
        <v>62</v>
      </c>
      <c r="H115" t="s">
        <v>153</v>
      </c>
      <c r="I115" s="3">
        <f t="shared" si="22"/>
        <v>76023</v>
      </c>
      <c r="J115" s="24">
        <f t="shared" si="23"/>
        <v>0.29520858331100525</v>
      </c>
      <c r="K115" s="24">
        <f t="shared" si="24"/>
        <v>0.41885950413223139</v>
      </c>
      <c r="L115" t="str">
        <f t="shared" si="18"/>
        <v>Dell</v>
      </c>
      <c r="M115" s="25" t="str">
        <f t="shared" si="20"/>
        <v>24"</v>
      </c>
    </row>
    <row r="116" spans="1:13">
      <c r="A116" s="23">
        <v>45676</v>
      </c>
      <c r="B116" t="s">
        <v>14</v>
      </c>
      <c r="C116" s="1">
        <v>1</v>
      </c>
      <c r="D116" s="3">
        <f t="shared" si="21"/>
        <v>58708</v>
      </c>
      <c r="E116" s="3">
        <f t="shared" si="19"/>
        <v>15851.160000000002</v>
      </c>
      <c r="F116" s="3">
        <f t="shared" si="17"/>
        <v>74559.16</v>
      </c>
      <c r="G116" t="s">
        <v>65</v>
      </c>
      <c r="H116" t="s">
        <v>154</v>
      </c>
      <c r="I116" s="3">
        <f t="shared" si="22"/>
        <v>19308</v>
      </c>
      <c r="J116" s="24">
        <f t="shared" si="23"/>
        <v>0.3288819240989303</v>
      </c>
      <c r="K116" s="24">
        <f t="shared" si="24"/>
        <v>0.49005076142131981</v>
      </c>
      <c r="L116" t="str">
        <f t="shared" si="18"/>
        <v>Samsung</v>
      </c>
      <c r="M116" s="25" t="str">
        <f t="shared" si="20"/>
        <v>27"</v>
      </c>
    </row>
    <row r="117" spans="1:13">
      <c r="A117" s="23">
        <v>45676</v>
      </c>
      <c r="B117" t="s">
        <v>36</v>
      </c>
      <c r="C117" s="1">
        <v>1</v>
      </c>
      <c r="D117" s="3">
        <f t="shared" si="21"/>
        <v>80751</v>
      </c>
      <c r="E117" s="3">
        <f t="shared" si="19"/>
        <v>21802.77</v>
      </c>
      <c r="F117" s="3">
        <f t="shared" si="17"/>
        <v>102553.77</v>
      </c>
      <c r="G117" t="s">
        <v>65</v>
      </c>
      <c r="H117" t="s">
        <v>88</v>
      </c>
      <c r="I117" s="3">
        <f t="shared" si="22"/>
        <v>24951</v>
      </c>
      <c r="J117" s="24">
        <f t="shared" si="23"/>
        <v>0.3089868856113237</v>
      </c>
      <c r="K117" s="24">
        <f t="shared" si="24"/>
        <v>0.4471505376344086</v>
      </c>
      <c r="L117" t="str">
        <f t="shared" si="18"/>
        <v>LG</v>
      </c>
      <c r="M117" s="25" t="str">
        <f t="shared" si="20"/>
        <v>24"</v>
      </c>
    </row>
    <row r="118" spans="1:13">
      <c r="A118" s="23">
        <v>45676</v>
      </c>
      <c r="B118" t="s">
        <v>25</v>
      </c>
      <c r="C118" s="1">
        <v>4</v>
      </c>
      <c r="D118" s="3">
        <f t="shared" si="21"/>
        <v>352508</v>
      </c>
      <c r="E118" s="3">
        <f t="shared" si="19"/>
        <v>95177.16</v>
      </c>
      <c r="F118" s="3">
        <f t="shared" si="17"/>
        <v>447685.16000000003</v>
      </c>
      <c r="G118" t="s">
        <v>65</v>
      </c>
      <c r="H118" t="s">
        <v>155</v>
      </c>
      <c r="I118" s="3">
        <f t="shared" si="22"/>
        <v>109308</v>
      </c>
      <c r="J118" s="24">
        <f t="shared" si="23"/>
        <v>0.31008657959535668</v>
      </c>
      <c r="K118" s="24">
        <f t="shared" si="24"/>
        <v>0.44945723684210526</v>
      </c>
      <c r="L118" t="str">
        <f t="shared" si="18"/>
        <v>Samsung</v>
      </c>
      <c r="M118" s="25" t="str">
        <f t="shared" si="20"/>
        <v>24"</v>
      </c>
    </row>
    <row r="119" spans="1:13">
      <c r="A119" s="23">
        <v>45676</v>
      </c>
      <c r="B119" t="s">
        <v>35</v>
      </c>
      <c r="C119" s="1">
        <v>2</v>
      </c>
      <c r="D119" s="3">
        <f t="shared" si="21"/>
        <v>128028</v>
      </c>
      <c r="E119" s="3">
        <f t="shared" si="19"/>
        <v>34567.560000000005</v>
      </c>
      <c r="F119" s="3">
        <f t="shared" si="17"/>
        <v>162595.56</v>
      </c>
      <c r="G119" t="s">
        <v>65</v>
      </c>
      <c r="H119" t="s">
        <v>156</v>
      </c>
      <c r="I119" s="3">
        <f t="shared" si="22"/>
        <v>39428</v>
      </c>
      <c r="J119" s="24">
        <f t="shared" si="23"/>
        <v>0.30796388290061549</v>
      </c>
      <c r="K119" s="24">
        <f t="shared" si="24"/>
        <v>0.44501128668171558</v>
      </c>
      <c r="L119" t="str">
        <f t="shared" si="18"/>
        <v>ASUS</v>
      </c>
      <c r="M119" s="25" t="str">
        <f t="shared" si="20"/>
        <v>27"</v>
      </c>
    </row>
    <row r="120" spans="1:13">
      <c r="A120" s="23">
        <v>45676</v>
      </c>
      <c r="B120" t="s">
        <v>27</v>
      </c>
      <c r="C120" s="1">
        <v>4</v>
      </c>
      <c r="D120" s="3">
        <f t="shared" si="21"/>
        <v>244140</v>
      </c>
      <c r="E120" s="3">
        <f t="shared" si="19"/>
        <v>65917.8</v>
      </c>
      <c r="F120" s="3">
        <f t="shared" si="17"/>
        <v>310057.8</v>
      </c>
      <c r="G120" t="s">
        <v>65</v>
      </c>
      <c r="H120" t="s">
        <v>135</v>
      </c>
      <c r="I120" s="3">
        <f t="shared" si="22"/>
        <v>83340</v>
      </c>
      <c r="J120" s="24">
        <f t="shared" si="23"/>
        <v>0.34136151388547553</v>
      </c>
      <c r="K120" s="24">
        <f t="shared" si="24"/>
        <v>0.51828358208955227</v>
      </c>
      <c r="L120" t="str">
        <f t="shared" si="18"/>
        <v>HP</v>
      </c>
      <c r="M120" s="25" t="str">
        <f t="shared" si="20"/>
        <v>27"</v>
      </c>
    </row>
    <row r="121" spans="1:13">
      <c r="A121" s="23">
        <v>45676</v>
      </c>
      <c r="B121" t="s">
        <v>24</v>
      </c>
      <c r="C121" s="1">
        <v>1</v>
      </c>
      <c r="D121" s="3">
        <f t="shared" si="21"/>
        <v>97861</v>
      </c>
      <c r="E121" s="3">
        <f t="shared" si="19"/>
        <v>26422.47</v>
      </c>
      <c r="F121" s="3">
        <f t="shared" si="17"/>
        <v>124283.47</v>
      </c>
      <c r="G121" t="s">
        <v>62</v>
      </c>
      <c r="H121" t="s">
        <v>83</v>
      </c>
      <c r="I121" s="3">
        <f t="shared" si="22"/>
        <v>28461</v>
      </c>
      <c r="J121" s="24">
        <f t="shared" si="23"/>
        <v>0.29083087235977562</v>
      </c>
      <c r="K121" s="24">
        <f t="shared" si="24"/>
        <v>0.41010086455331413</v>
      </c>
      <c r="L121" t="str">
        <f t="shared" si="18"/>
        <v>Dell</v>
      </c>
      <c r="M121" s="25" t="str">
        <f t="shared" si="20"/>
        <v>27"</v>
      </c>
    </row>
    <row r="122" spans="1:13">
      <c r="A122" s="23">
        <v>45676</v>
      </c>
      <c r="B122" t="s">
        <v>26</v>
      </c>
      <c r="C122" s="1">
        <v>1</v>
      </c>
      <c r="D122" s="3">
        <f t="shared" si="21"/>
        <v>88349</v>
      </c>
      <c r="E122" s="3">
        <f t="shared" si="19"/>
        <v>23854.230000000003</v>
      </c>
      <c r="F122" s="3">
        <f t="shared" si="17"/>
        <v>112203.23000000001</v>
      </c>
      <c r="G122" t="s">
        <v>65</v>
      </c>
      <c r="H122" t="s">
        <v>157</v>
      </c>
      <c r="I122" s="3">
        <f t="shared" si="22"/>
        <v>26649</v>
      </c>
      <c r="J122" s="24">
        <f t="shared" si="23"/>
        <v>0.30163329522688431</v>
      </c>
      <c r="K122" s="24">
        <f t="shared" si="24"/>
        <v>0.4319124797406807</v>
      </c>
      <c r="L122" t="str">
        <f t="shared" si="18"/>
        <v>LG</v>
      </c>
      <c r="M122" s="25" t="str">
        <f t="shared" si="20"/>
        <v>27"</v>
      </c>
    </row>
    <row r="123" spans="1:13">
      <c r="A123" s="23">
        <v>45676</v>
      </c>
      <c r="B123" t="s">
        <v>22</v>
      </c>
      <c r="C123" s="1">
        <v>3</v>
      </c>
      <c r="D123" s="3">
        <f t="shared" si="21"/>
        <v>290346</v>
      </c>
      <c r="E123" s="3">
        <f t="shared" si="19"/>
        <v>78393.42</v>
      </c>
      <c r="F123" s="3">
        <f t="shared" si="17"/>
        <v>368739.42</v>
      </c>
      <c r="G123" t="s">
        <v>65</v>
      </c>
      <c r="H123" t="s">
        <v>158</v>
      </c>
      <c r="I123" s="3">
        <f t="shared" si="22"/>
        <v>85446</v>
      </c>
      <c r="J123" s="24">
        <f t="shared" si="23"/>
        <v>0.29429026058564611</v>
      </c>
      <c r="K123" s="24">
        <f t="shared" si="24"/>
        <v>0.41701317715959002</v>
      </c>
      <c r="L123" t="str">
        <f t="shared" si="18"/>
        <v>Acer</v>
      </c>
      <c r="M123" s="25" t="str">
        <f t="shared" si="20"/>
        <v>27"</v>
      </c>
    </row>
    <row r="124" spans="1:13">
      <c r="A124" s="23">
        <v>45676</v>
      </c>
      <c r="B124" t="s">
        <v>33</v>
      </c>
      <c r="C124" s="1">
        <v>1</v>
      </c>
      <c r="D124" s="3">
        <f t="shared" si="21"/>
        <v>52504</v>
      </c>
      <c r="E124" s="3">
        <f t="shared" si="19"/>
        <v>14176.080000000002</v>
      </c>
      <c r="F124" s="3">
        <f t="shared" si="17"/>
        <v>66680.08</v>
      </c>
      <c r="G124" t="s">
        <v>62</v>
      </c>
      <c r="H124" t="s">
        <v>159</v>
      </c>
      <c r="I124" s="3">
        <f t="shared" si="22"/>
        <v>16904</v>
      </c>
      <c r="J124" s="24">
        <f t="shared" si="23"/>
        <v>0.32195642236781957</v>
      </c>
      <c r="K124" s="24">
        <f t="shared" si="24"/>
        <v>0.47483146067415732</v>
      </c>
      <c r="L124" t="str">
        <f t="shared" si="18"/>
        <v>Samsung</v>
      </c>
      <c r="M124" s="25" t="str">
        <f t="shared" si="20"/>
        <v>32"</v>
      </c>
    </row>
    <row r="125" spans="1:13">
      <c r="A125" s="23">
        <v>45676</v>
      </c>
      <c r="B125" t="s">
        <v>23</v>
      </c>
      <c r="C125" s="1">
        <v>1</v>
      </c>
      <c r="D125" s="3">
        <f t="shared" si="21"/>
        <v>71296</v>
      </c>
      <c r="E125" s="3">
        <f t="shared" si="19"/>
        <v>19249.920000000002</v>
      </c>
      <c r="F125" s="3">
        <f t="shared" si="17"/>
        <v>90545.919999999998</v>
      </c>
      <c r="G125" t="s">
        <v>62</v>
      </c>
      <c r="H125" t="s">
        <v>160</v>
      </c>
      <c r="I125" s="3">
        <f t="shared" si="22"/>
        <v>22696</v>
      </c>
      <c r="J125" s="24">
        <f t="shared" si="23"/>
        <v>0.31833482944344704</v>
      </c>
      <c r="K125" s="24">
        <f t="shared" si="24"/>
        <v>0.46699588477366255</v>
      </c>
      <c r="L125" t="str">
        <f t="shared" si="18"/>
        <v>Samsung</v>
      </c>
      <c r="M125" s="25" t="str">
        <f t="shared" si="20"/>
        <v>27"</v>
      </c>
    </row>
    <row r="126" spans="1:13">
      <c r="A126" s="23">
        <v>45677</v>
      </c>
      <c r="B126" t="s">
        <v>31</v>
      </c>
      <c r="C126" s="1">
        <v>1</v>
      </c>
      <c r="D126" s="3">
        <f t="shared" si="21"/>
        <v>85731</v>
      </c>
      <c r="E126" s="3">
        <f t="shared" si="19"/>
        <v>23147.370000000003</v>
      </c>
      <c r="F126" s="3">
        <f t="shared" si="17"/>
        <v>108878.37</v>
      </c>
      <c r="G126" t="s">
        <v>65</v>
      </c>
      <c r="H126" t="s">
        <v>161</v>
      </c>
      <c r="I126" s="3">
        <f t="shared" si="22"/>
        <v>25831</v>
      </c>
      <c r="J126" s="24">
        <f t="shared" si="23"/>
        <v>0.30130291259870989</v>
      </c>
      <c r="K126" s="24">
        <f t="shared" si="24"/>
        <v>0.43123539232053421</v>
      </c>
      <c r="L126" t="str">
        <f t="shared" si="18"/>
        <v>BenQ</v>
      </c>
      <c r="M126" s="25" t="str">
        <f t="shared" si="20"/>
        <v>32"</v>
      </c>
    </row>
    <row r="127" spans="1:13">
      <c r="A127" s="23">
        <v>45677</v>
      </c>
      <c r="B127" t="s">
        <v>19</v>
      </c>
      <c r="C127" s="1">
        <v>4</v>
      </c>
      <c r="D127" s="3">
        <f t="shared" si="21"/>
        <v>205360</v>
      </c>
      <c r="E127" s="3">
        <f t="shared" si="19"/>
        <v>55447.200000000004</v>
      </c>
      <c r="F127" s="3">
        <f t="shared" si="17"/>
        <v>260807.2</v>
      </c>
      <c r="G127" t="s">
        <v>62</v>
      </c>
      <c r="H127" t="s">
        <v>162</v>
      </c>
      <c r="I127" s="3">
        <f t="shared" si="22"/>
        <v>70160</v>
      </c>
      <c r="J127" s="24">
        <f t="shared" si="23"/>
        <v>0.34164394234515</v>
      </c>
      <c r="K127" s="24">
        <f t="shared" si="24"/>
        <v>0.5189349112426036</v>
      </c>
      <c r="L127" t="str">
        <f t="shared" si="18"/>
        <v>ASUS</v>
      </c>
      <c r="M127" s="25" t="str">
        <f t="shared" si="20"/>
        <v>32"</v>
      </c>
    </row>
    <row r="128" spans="1:13">
      <c r="A128" s="23">
        <v>45677</v>
      </c>
      <c r="B128" t="s">
        <v>29</v>
      </c>
      <c r="C128" s="1">
        <v>4</v>
      </c>
      <c r="D128" s="3">
        <f t="shared" si="21"/>
        <v>249360</v>
      </c>
      <c r="E128" s="3">
        <f t="shared" si="19"/>
        <v>67327.200000000012</v>
      </c>
      <c r="F128" s="3">
        <f t="shared" si="17"/>
        <v>316687.2</v>
      </c>
      <c r="G128" t="s">
        <v>65</v>
      </c>
      <c r="H128" t="s">
        <v>163</v>
      </c>
      <c r="I128" s="3">
        <f t="shared" si="22"/>
        <v>84560</v>
      </c>
      <c r="J128" s="24">
        <f t="shared" si="23"/>
        <v>0.33910811677895414</v>
      </c>
      <c r="K128" s="24">
        <f t="shared" si="24"/>
        <v>0.51310679611650489</v>
      </c>
      <c r="L128" t="str">
        <f t="shared" si="18"/>
        <v>LG</v>
      </c>
      <c r="M128" s="25" t="str">
        <f t="shared" si="20"/>
        <v>32"</v>
      </c>
    </row>
    <row r="129" spans="1:13">
      <c r="A129" s="23">
        <v>45677</v>
      </c>
      <c r="B129" t="s">
        <v>30</v>
      </c>
      <c r="C129" s="1">
        <v>1</v>
      </c>
      <c r="D129" s="3">
        <f t="shared" si="21"/>
        <v>86474</v>
      </c>
      <c r="E129" s="3">
        <f t="shared" si="19"/>
        <v>23347.980000000003</v>
      </c>
      <c r="F129" s="3">
        <f t="shared" si="17"/>
        <v>109821.98000000001</v>
      </c>
      <c r="G129" t="s">
        <v>65</v>
      </c>
      <c r="H129" t="s">
        <v>161</v>
      </c>
      <c r="I129" s="3">
        <f t="shared" si="22"/>
        <v>29074</v>
      </c>
      <c r="J129" s="24">
        <f t="shared" si="23"/>
        <v>0.33621666628119434</v>
      </c>
      <c r="K129" s="24">
        <f t="shared" si="24"/>
        <v>0.50651567944250875</v>
      </c>
      <c r="L129" t="str">
        <f t="shared" si="18"/>
        <v>Samsung</v>
      </c>
      <c r="M129" s="25" t="str">
        <f t="shared" si="20"/>
        <v>32"</v>
      </c>
    </row>
    <row r="130" spans="1:13">
      <c r="A130" s="23">
        <v>45677</v>
      </c>
      <c r="B130" t="s">
        <v>35</v>
      </c>
      <c r="C130" s="1">
        <v>3</v>
      </c>
      <c r="D130" s="3">
        <f t="shared" ref="D130:D161" si="25">VLOOKUP(B130,$O$2:$Q$26,2,0)*C130</f>
        <v>192042</v>
      </c>
      <c r="E130" s="3">
        <f t="shared" si="19"/>
        <v>51851.340000000004</v>
      </c>
      <c r="F130" s="3">
        <f t="shared" si="17"/>
        <v>243893.34</v>
      </c>
      <c r="G130" t="s">
        <v>65</v>
      </c>
      <c r="H130" t="s">
        <v>164</v>
      </c>
      <c r="I130" s="3">
        <f t="shared" ref="I130:I161" si="26">D130-(VLOOKUP(B130,$O$2:$Q$27,3,FALSE)*C130)</f>
        <v>59142</v>
      </c>
      <c r="J130" s="24">
        <f t="shared" ref="J130:J161" si="27">I130/(VLOOKUP(B130,$O$2:$Q$26,2,FALSE)*C130)</f>
        <v>0.30796388290061549</v>
      </c>
      <c r="K130" s="24">
        <f t="shared" ref="K130:K161" si="28">I130/(VLOOKUP(B130,$O$2:$Q$26,3,FALSE)*C130)</f>
        <v>0.44501128668171558</v>
      </c>
      <c r="L130" t="str">
        <f t="shared" si="18"/>
        <v>ASUS</v>
      </c>
      <c r="M130" s="25" t="str">
        <f t="shared" si="20"/>
        <v>27"</v>
      </c>
    </row>
    <row r="131" spans="1:13">
      <c r="A131" s="23">
        <v>45677</v>
      </c>
      <c r="B131" t="s">
        <v>33</v>
      </c>
      <c r="C131" s="1">
        <v>1</v>
      </c>
      <c r="D131" s="3">
        <f t="shared" si="25"/>
        <v>52504</v>
      </c>
      <c r="E131" s="3">
        <f t="shared" si="19"/>
        <v>14176.080000000002</v>
      </c>
      <c r="F131" s="3">
        <f t="shared" ref="F131:F188" si="29">D131+E131</f>
        <v>66680.08</v>
      </c>
      <c r="G131" t="s">
        <v>65</v>
      </c>
      <c r="H131" t="s">
        <v>165</v>
      </c>
      <c r="I131" s="3">
        <f t="shared" si="26"/>
        <v>16904</v>
      </c>
      <c r="J131" s="24">
        <f t="shared" si="27"/>
        <v>0.32195642236781957</v>
      </c>
      <c r="K131" s="24">
        <f t="shared" si="28"/>
        <v>0.47483146067415732</v>
      </c>
      <c r="L131" t="str">
        <f t="shared" ref="L131:L188" si="30">LEFT(B131, FIND(" ", B131)-1)</f>
        <v>Samsung</v>
      </c>
      <c r="M131" s="25" t="str">
        <f t="shared" si="20"/>
        <v>32"</v>
      </c>
    </row>
    <row r="132" spans="1:13">
      <c r="A132" s="23">
        <v>45678</v>
      </c>
      <c r="B132" t="s">
        <v>18</v>
      </c>
      <c r="C132" s="1">
        <v>2</v>
      </c>
      <c r="D132" s="3">
        <f t="shared" si="25"/>
        <v>189448</v>
      </c>
      <c r="E132" s="3">
        <f t="shared" ref="E132:E188" si="31">D132 *27%</f>
        <v>51150.960000000006</v>
      </c>
      <c r="F132" s="3">
        <f t="shared" si="29"/>
        <v>240598.96000000002</v>
      </c>
      <c r="G132" t="s">
        <v>62</v>
      </c>
      <c r="H132" t="s">
        <v>166</v>
      </c>
      <c r="I132" s="3">
        <f t="shared" si="26"/>
        <v>54448</v>
      </c>
      <c r="J132" s="24">
        <f t="shared" si="27"/>
        <v>0.28740340357248428</v>
      </c>
      <c r="K132" s="24">
        <f t="shared" si="28"/>
        <v>0.40331851851851852</v>
      </c>
      <c r="L132" t="str">
        <f t="shared" si="30"/>
        <v>Acer</v>
      </c>
      <c r="M132" s="25" t="str">
        <f t="shared" si="20"/>
        <v>24"</v>
      </c>
    </row>
    <row r="133" spans="1:13">
      <c r="A133" s="23">
        <v>45678</v>
      </c>
      <c r="B133" t="s">
        <v>36</v>
      </c>
      <c r="C133" s="1">
        <v>1</v>
      </c>
      <c r="D133" s="3">
        <f t="shared" si="25"/>
        <v>80751</v>
      </c>
      <c r="E133" s="3">
        <f t="shared" si="31"/>
        <v>21802.77</v>
      </c>
      <c r="F133" s="3">
        <f t="shared" si="29"/>
        <v>102553.77</v>
      </c>
      <c r="G133" t="s">
        <v>65</v>
      </c>
      <c r="H133" t="s">
        <v>68</v>
      </c>
      <c r="I133" s="3">
        <f t="shared" si="26"/>
        <v>24951</v>
      </c>
      <c r="J133" s="24">
        <f t="shared" si="27"/>
        <v>0.3089868856113237</v>
      </c>
      <c r="K133" s="24">
        <f t="shared" si="28"/>
        <v>0.4471505376344086</v>
      </c>
      <c r="L133" t="str">
        <f t="shared" si="30"/>
        <v>LG</v>
      </c>
      <c r="M133" s="25" t="str">
        <f t="shared" si="20"/>
        <v>24"</v>
      </c>
    </row>
    <row r="134" spans="1:13">
      <c r="A134" s="23">
        <v>45678</v>
      </c>
      <c r="B134" t="s">
        <v>21</v>
      </c>
      <c r="C134" s="1">
        <v>1</v>
      </c>
      <c r="D134" s="3">
        <f t="shared" si="25"/>
        <v>74578</v>
      </c>
      <c r="E134" s="3">
        <f t="shared" si="31"/>
        <v>20136.060000000001</v>
      </c>
      <c r="F134" s="3">
        <f t="shared" si="29"/>
        <v>94714.06</v>
      </c>
      <c r="G134" t="s">
        <v>62</v>
      </c>
      <c r="H134" t="s">
        <v>167</v>
      </c>
      <c r="I134" s="3">
        <f t="shared" si="26"/>
        <v>24278</v>
      </c>
      <c r="J134" s="24">
        <f t="shared" si="27"/>
        <v>0.32553836251977797</v>
      </c>
      <c r="K134" s="24">
        <f t="shared" si="28"/>
        <v>0.48266401590457259</v>
      </c>
      <c r="L134" t="str">
        <f t="shared" si="30"/>
        <v>ASUS</v>
      </c>
      <c r="M134" s="25" t="str">
        <f t="shared" si="20"/>
        <v>32"</v>
      </c>
    </row>
    <row r="135" spans="1:13">
      <c r="A135" s="23">
        <v>45679</v>
      </c>
      <c r="B135" t="s">
        <v>20</v>
      </c>
      <c r="C135" s="1">
        <v>4</v>
      </c>
      <c r="D135" s="3">
        <f t="shared" si="25"/>
        <v>321996</v>
      </c>
      <c r="E135" s="3">
        <f t="shared" si="31"/>
        <v>86938.920000000013</v>
      </c>
      <c r="F135" s="3">
        <f t="shared" si="29"/>
        <v>408934.92000000004</v>
      </c>
      <c r="G135" t="s">
        <v>62</v>
      </c>
      <c r="H135" t="s">
        <v>125</v>
      </c>
      <c r="I135" s="3">
        <f t="shared" si="26"/>
        <v>97596</v>
      </c>
      <c r="J135" s="24">
        <f t="shared" si="27"/>
        <v>0.3030969328811538</v>
      </c>
      <c r="K135" s="24">
        <f t="shared" si="28"/>
        <v>0.4349197860962567</v>
      </c>
      <c r="L135" t="str">
        <f t="shared" si="30"/>
        <v>HP</v>
      </c>
      <c r="M135" s="25" t="str">
        <f t="shared" si="20"/>
        <v>27"</v>
      </c>
    </row>
    <row r="136" spans="1:13">
      <c r="A136" s="23">
        <v>45679</v>
      </c>
      <c r="B136" t="s">
        <v>15</v>
      </c>
      <c r="C136" s="1">
        <v>1</v>
      </c>
      <c r="D136" s="3">
        <f t="shared" si="25"/>
        <v>99105</v>
      </c>
      <c r="E136" s="3">
        <f t="shared" si="31"/>
        <v>26758.350000000002</v>
      </c>
      <c r="F136" s="3">
        <f t="shared" si="29"/>
        <v>125863.35</v>
      </c>
      <c r="G136" t="s">
        <v>65</v>
      </c>
      <c r="H136" t="s">
        <v>168</v>
      </c>
      <c r="I136" s="3">
        <f t="shared" si="26"/>
        <v>27905</v>
      </c>
      <c r="J136" s="24">
        <f t="shared" si="27"/>
        <v>0.28157005196508755</v>
      </c>
      <c r="K136" s="24">
        <f t="shared" si="28"/>
        <v>0.39192415730337077</v>
      </c>
      <c r="L136" t="str">
        <f t="shared" si="30"/>
        <v>Dell</v>
      </c>
      <c r="M136" s="25" t="str">
        <f t="shared" si="20"/>
        <v>27"</v>
      </c>
    </row>
    <row r="137" spans="1:13">
      <c r="A137" s="23">
        <v>45679</v>
      </c>
      <c r="B137" t="s">
        <v>17</v>
      </c>
      <c r="C137" s="1">
        <v>1</v>
      </c>
      <c r="D137" s="3">
        <f t="shared" si="25"/>
        <v>63536</v>
      </c>
      <c r="E137" s="3">
        <f t="shared" si="31"/>
        <v>17154.72</v>
      </c>
      <c r="F137" s="3">
        <f t="shared" si="29"/>
        <v>80690.720000000001</v>
      </c>
      <c r="G137" t="s">
        <v>65</v>
      </c>
      <c r="H137" t="s">
        <v>169</v>
      </c>
      <c r="I137" s="3">
        <f t="shared" si="26"/>
        <v>20636</v>
      </c>
      <c r="J137" s="24">
        <f t="shared" si="27"/>
        <v>0.32479224376731303</v>
      </c>
      <c r="K137" s="24">
        <f t="shared" si="28"/>
        <v>0.48102564102564105</v>
      </c>
      <c r="L137" t="str">
        <f t="shared" si="30"/>
        <v>Samsung</v>
      </c>
      <c r="M137" s="25" t="str">
        <f t="shared" ref="M137:M188" si="32">_xlfn.TEXTAFTER(B137," ",-1)</f>
        <v>24"</v>
      </c>
    </row>
    <row r="138" spans="1:13">
      <c r="A138" s="23">
        <v>45679</v>
      </c>
      <c r="B138" t="s">
        <v>28</v>
      </c>
      <c r="C138" s="1">
        <v>2</v>
      </c>
      <c r="D138" s="3">
        <f t="shared" si="25"/>
        <v>177892</v>
      </c>
      <c r="E138" s="3">
        <f t="shared" si="31"/>
        <v>48030.840000000004</v>
      </c>
      <c r="F138" s="3">
        <f t="shared" si="29"/>
        <v>225922.84</v>
      </c>
      <c r="G138" t="s">
        <v>65</v>
      </c>
      <c r="H138" t="s">
        <v>170</v>
      </c>
      <c r="I138" s="3">
        <f t="shared" si="26"/>
        <v>53692</v>
      </c>
      <c r="J138" s="24">
        <f t="shared" si="27"/>
        <v>0.30182357835090956</v>
      </c>
      <c r="K138" s="24">
        <f t="shared" si="28"/>
        <v>0.43230273752012882</v>
      </c>
      <c r="L138" t="str">
        <f t="shared" si="30"/>
        <v>Samsung</v>
      </c>
      <c r="M138" s="25" t="str">
        <f t="shared" si="32"/>
        <v>27"</v>
      </c>
    </row>
    <row r="139" spans="1:13">
      <c r="A139" s="23">
        <v>45680</v>
      </c>
      <c r="B139" t="s">
        <v>32</v>
      </c>
      <c r="C139" s="1">
        <v>1</v>
      </c>
      <c r="D139" s="3">
        <f t="shared" si="25"/>
        <v>94247</v>
      </c>
      <c r="E139" s="3">
        <f t="shared" si="31"/>
        <v>25446.690000000002</v>
      </c>
      <c r="F139" s="3">
        <f t="shared" si="29"/>
        <v>119693.69</v>
      </c>
      <c r="G139" t="s">
        <v>65</v>
      </c>
      <c r="H139" t="s">
        <v>171</v>
      </c>
      <c r="I139" s="3">
        <f t="shared" si="26"/>
        <v>27547</v>
      </c>
      <c r="J139" s="24">
        <f t="shared" si="27"/>
        <v>0.29228516557556211</v>
      </c>
      <c r="K139" s="24">
        <f t="shared" si="28"/>
        <v>0.41299850074962519</v>
      </c>
      <c r="L139" t="str">
        <f t="shared" si="30"/>
        <v>LG</v>
      </c>
      <c r="M139" s="25" t="str">
        <f t="shared" si="32"/>
        <v>32"</v>
      </c>
    </row>
    <row r="140" spans="1:13">
      <c r="A140" s="23">
        <v>45680</v>
      </c>
      <c r="B140" t="s">
        <v>34</v>
      </c>
      <c r="C140" s="1">
        <v>3</v>
      </c>
      <c r="D140" s="3">
        <f t="shared" si="25"/>
        <v>257523</v>
      </c>
      <c r="E140" s="3">
        <f t="shared" si="31"/>
        <v>69531.210000000006</v>
      </c>
      <c r="F140" s="3">
        <f t="shared" si="29"/>
        <v>327054.21000000002</v>
      </c>
      <c r="G140" t="s">
        <v>62</v>
      </c>
      <c r="H140" t="s">
        <v>160</v>
      </c>
      <c r="I140" s="3">
        <f t="shared" si="26"/>
        <v>76023</v>
      </c>
      <c r="J140" s="24">
        <f t="shared" si="27"/>
        <v>0.29520858331100525</v>
      </c>
      <c r="K140" s="24">
        <f t="shared" si="28"/>
        <v>0.41885950413223139</v>
      </c>
      <c r="L140" t="str">
        <f t="shared" si="30"/>
        <v>Dell</v>
      </c>
      <c r="M140" s="25" t="str">
        <f t="shared" si="32"/>
        <v>24"</v>
      </c>
    </row>
    <row r="141" spans="1:13">
      <c r="A141" s="23">
        <v>45680</v>
      </c>
      <c r="B141" t="s">
        <v>14</v>
      </c>
      <c r="C141" s="1">
        <v>2</v>
      </c>
      <c r="D141" s="3">
        <f t="shared" si="25"/>
        <v>117416</v>
      </c>
      <c r="E141" s="3">
        <f t="shared" si="31"/>
        <v>31702.320000000003</v>
      </c>
      <c r="F141" s="3">
        <f t="shared" si="29"/>
        <v>149118.32</v>
      </c>
      <c r="G141" t="s">
        <v>62</v>
      </c>
      <c r="H141" t="s">
        <v>172</v>
      </c>
      <c r="I141" s="3">
        <f t="shared" si="26"/>
        <v>38616</v>
      </c>
      <c r="J141" s="24">
        <f t="shared" si="27"/>
        <v>0.3288819240989303</v>
      </c>
      <c r="K141" s="24">
        <f t="shared" si="28"/>
        <v>0.49005076142131981</v>
      </c>
      <c r="L141" t="str">
        <f t="shared" si="30"/>
        <v>Samsung</v>
      </c>
      <c r="M141" s="25" t="str">
        <f t="shared" si="32"/>
        <v>27"</v>
      </c>
    </row>
    <row r="142" spans="1:13">
      <c r="A142" s="23">
        <v>45680</v>
      </c>
      <c r="B142" t="s">
        <v>36</v>
      </c>
      <c r="C142" s="1">
        <v>4</v>
      </c>
      <c r="D142" s="3">
        <f t="shared" si="25"/>
        <v>323004</v>
      </c>
      <c r="E142" s="3">
        <f t="shared" si="31"/>
        <v>87211.08</v>
      </c>
      <c r="F142" s="3">
        <f t="shared" si="29"/>
        <v>410215.08</v>
      </c>
      <c r="G142" t="s">
        <v>62</v>
      </c>
      <c r="H142" t="s">
        <v>5</v>
      </c>
      <c r="I142" s="3">
        <f t="shared" si="26"/>
        <v>99804</v>
      </c>
      <c r="J142" s="24">
        <f t="shared" si="27"/>
        <v>0.3089868856113237</v>
      </c>
      <c r="K142" s="24">
        <f t="shared" si="28"/>
        <v>0.4471505376344086</v>
      </c>
      <c r="L142" t="str">
        <f t="shared" si="30"/>
        <v>LG</v>
      </c>
      <c r="M142" s="25" t="str">
        <f t="shared" si="32"/>
        <v>24"</v>
      </c>
    </row>
    <row r="143" spans="1:13">
      <c r="A143" s="23">
        <v>45680</v>
      </c>
      <c r="B143" t="s">
        <v>25</v>
      </c>
      <c r="C143" s="1">
        <v>1</v>
      </c>
      <c r="D143" s="3">
        <f t="shared" si="25"/>
        <v>88127</v>
      </c>
      <c r="E143" s="3">
        <f t="shared" si="31"/>
        <v>23794.29</v>
      </c>
      <c r="F143" s="3">
        <f t="shared" si="29"/>
        <v>111921.29000000001</v>
      </c>
      <c r="G143" t="s">
        <v>65</v>
      </c>
      <c r="H143" t="s">
        <v>72</v>
      </c>
      <c r="I143" s="3">
        <f t="shared" si="26"/>
        <v>27327</v>
      </c>
      <c r="J143" s="24">
        <f t="shared" si="27"/>
        <v>0.31008657959535668</v>
      </c>
      <c r="K143" s="24">
        <f t="shared" si="28"/>
        <v>0.44945723684210526</v>
      </c>
      <c r="L143" t="str">
        <f t="shared" si="30"/>
        <v>Samsung</v>
      </c>
      <c r="M143" s="25" t="str">
        <f t="shared" si="32"/>
        <v>24"</v>
      </c>
    </row>
    <row r="144" spans="1:13">
      <c r="A144" s="23">
        <v>45680</v>
      </c>
      <c r="B144" t="s">
        <v>35</v>
      </c>
      <c r="C144" s="1">
        <v>2</v>
      </c>
      <c r="D144" s="3">
        <f t="shared" si="25"/>
        <v>128028</v>
      </c>
      <c r="E144" s="3">
        <f t="shared" si="31"/>
        <v>34567.560000000005</v>
      </c>
      <c r="F144" s="3">
        <f t="shared" si="29"/>
        <v>162595.56</v>
      </c>
      <c r="G144" t="s">
        <v>65</v>
      </c>
      <c r="H144" t="s">
        <v>173</v>
      </c>
      <c r="I144" s="3">
        <f t="shared" si="26"/>
        <v>39428</v>
      </c>
      <c r="J144" s="24">
        <f t="shared" si="27"/>
        <v>0.30796388290061549</v>
      </c>
      <c r="K144" s="24">
        <f t="shared" si="28"/>
        <v>0.44501128668171558</v>
      </c>
      <c r="L144" t="str">
        <f t="shared" si="30"/>
        <v>ASUS</v>
      </c>
      <c r="M144" s="25" t="str">
        <f t="shared" si="32"/>
        <v>27"</v>
      </c>
    </row>
    <row r="145" spans="1:13">
      <c r="A145" s="23">
        <v>45680</v>
      </c>
      <c r="B145" t="s">
        <v>27</v>
      </c>
      <c r="C145" s="1">
        <v>4</v>
      </c>
      <c r="D145" s="3">
        <f t="shared" si="25"/>
        <v>244140</v>
      </c>
      <c r="E145" s="3">
        <f t="shared" si="31"/>
        <v>65917.8</v>
      </c>
      <c r="F145" s="3">
        <f t="shared" si="29"/>
        <v>310057.8</v>
      </c>
      <c r="G145" t="s">
        <v>65</v>
      </c>
      <c r="H145" t="s">
        <v>174</v>
      </c>
      <c r="I145" s="3">
        <f t="shared" si="26"/>
        <v>83340</v>
      </c>
      <c r="J145" s="24">
        <f t="shared" si="27"/>
        <v>0.34136151388547553</v>
      </c>
      <c r="K145" s="24">
        <f t="shared" si="28"/>
        <v>0.51828358208955227</v>
      </c>
      <c r="L145" t="str">
        <f t="shared" si="30"/>
        <v>HP</v>
      </c>
      <c r="M145" s="25" t="str">
        <f t="shared" si="32"/>
        <v>27"</v>
      </c>
    </row>
    <row r="146" spans="1:13">
      <c r="A146" s="23">
        <v>45680</v>
      </c>
      <c r="B146" t="s">
        <v>24</v>
      </c>
      <c r="C146" s="1">
        <v>1</v>
      </c>
      <c r="D146" s="3">
        <f t="shared" si="25"/>
        <v>97861</v>
      </c>
      <c r="E146" s="3">
        <f t="shared" si="31"/>
        <v>26422.47</v>
      </c>
      <c r="F146" s="3">
        <f t="shared" si="29"/>
        <v>124283.47</v>
      </c>
      <c r="G146" t="s">
        <v>65</v>
      </c>
      <c r="H146" t="s">
        <v>175</v>
      </c>
      <c r="I146" s="3">
        <f t="shared" si="26"/>
        <v>28461</v>
      </c>
      <c r="J146" s="24">
        <f t="shared" si="27"/>
        <v>0.29083087235977562</v>
      </c>
      <c r="K146" s="24">
        <f t="shared" si="28"/>
        <v>0.41010086455331413</v>
      </c>
      <c r="L146" t="str">
        <f t="shared" si="30"/>
        <v>Dell</v>
      </c>
      <c r="M146" s="25" t="str">
        <f t="shared" si="32"/>
        <v>27"</v>
      </c>
    </row>
    <row r="147" spans="1:13">
      <c r="A147" s="23">
        <v>45681</v>
      </c>
      <c r="B147" t="s">
        <v>26</v>
      </c>
      <c r="C147" s="1">
        <v>1</v>
      </c>
      <c r="D147" s="3">
        <f t="shared" si="25"/>
        <v>88349</v>
      </c>
      <c r="E147" s="3">
        <f t="shared" si="31"/>
        <v>23854.230000000003</v>
      </c>
      <c r="F147" s="3">
        <f t="shared" si="29"/>
        <v>112203.23000000001</v>
      </c>
      <c r="G147" t="s">
        <v>62</v>
      </c>
      <c r="H147" t="s">
        <v>176</v>
      </c>
      <c r="I147" s="3">
        <f t="shared" si="26"/>
        <v>26649</v>
      </c>
      <c r="J147" s="24">
        <f t="shared" si="27"/>
        <v>0.30163329522688431</v>
      </c>
      <c r="K147" s="24">
        <f t="shared" si="28"/>
        <v>0.4319124797406807</v>
      </c>
      <c r="L147" t="str">
        <f t="shared" si="30"/>
        <v>LG</v>
      </c>
      <c r="M147" s="25" t="str">
        <f t="shared" si="32"/>
        <v>27"</v>
      </c>
    </row>
    <row r="148" spans="1:13">
      <c r="A148" s="23">
        <v>45681</v>
      </c>
      <c r="B148" t="s">
        <v>22</v>
      </c>
      <c r="C148" s="1">
        <v>3</v>
      </c>
      <c r="D148" s="3">
        <f t="shared" si="25"/>
        <v>290346</v>
      </c>
      <c r="E148" s="3">
        <f t="shared" si="31"/>
        <v>78393.42</v>
      </c>
      <c r="F148" s="3">
        <f t="shared" si="29"/>
        <v>368739.42</v>
      </c>
      <c r="G148" t="s">
        <v>62</v>
      </c>
      <c r="H148" t="s">
        <v>177</v>
      </c>
      <c r="I148" s="3">
        <f t="shared" si="26"/>
        <v>85446</v>
      </c>
      <c r="J148" s="24">
        <f t="shared" si="27"/>
        <v>0.29429026058564611</v>
      </c>
      <c r="K148" s="24">
        <f t="shared" si="28"/>
        <v>0.41701317715959002</v>
      </c>
      <c r="L148" t="str">
        <f t="shared" si="30"/>
        <v>Acer</v>
      </c>
      <c r="M148" s="25" t="str">
        <f t="shared" si="32"/>
        <v>27"</v>
      </c>
    </row>
    <row r="149" spans="1:13">
      <c r="A149" s="23">
        <v>45681</v>
      </c>
      <c r="B149" t="s">
        <v>33</v>
      </c>
      <c r="C149" s="1">
        <v>1</v>
      </c>
      <c r="D149" s="3">
        <f t="shared" si="25"/>
        <v>52504</v>
      </c>
      <c r="E149" s="3">
        <f t="shared" si="31"/>
        <v>14176.080000000002</v>
      </c>
      <c r="F149" s="3">
        <f t="shared" si="29"/>
        <v>66680.08</v>
      </c>
      <c r="G149" t="s">
        <v>62</v>
      </c>
      <c r="H149" t="s">
        <v>178</v>
      </c>
      <c r="I149" s="3">
        <f t="shared" si="26"/>
        <v>16904</v>
      </c>
      <c r="J149" s="24">
        <f t="shared" si="27"/>
        <v>0.32195642236781957</v>
      </c>
      <c r="K149" s="24">
        <f t="shared" si="28"/>
        <v>0.47483146067415732</v>
      </c>
      <c r="L149" t="str">
        <f t="shared" si="30"/>
        <v>Samsung</v>
      </c>
      <c r="M149" s="25" t="str">
        <f t="shared" si="32"/>
        <v>32"</v>
      </c>
    </row>
    <row r="150" spans="1:13">
      <c r="A150" s="23">
        <v>45681</v>
      </c>
      <c r="B150" t="s">
        <v>23</v>
      </c>
      <c r="C150" s="1">
        <v>1</v>
      </c>
      <c r="D150" s="3">
        <f t="shared" si="25"/>
        <v>71296</v>
      </c>
      <c r="E150" s="3">
        <f t="shared" si="31"/>
        <v>19249.920000000002</v>
      </c>
      <c r="F150" s="3">
        <f t="shared" si="29"/>
        <v>90545.919999999998</v>
      </c>
      <c r="G150" t="s">
        <v>65</v>
      </c>
      <c r="H150" t="s">
        <v>179</v>
      </c>
      <c r="I150" s="3">
        <f t="shared" si="26"/>
        <v>22696</v>
      </c>
      <c r="J150" s="24">
        <f t="shared" si="27"/>
        <v>0.31833482944344704</v>
      </c>
      <c r="K150" s="24">
        <f t="shared" si="28"/>
        <v>0.46699588477366255</v>
      </c>
      <c r="L150" t="str">
        <f t="shared" si="30"/>
        <v>Samsung</v>
      </c>
      <c r="M150" s="25" t="str">
        <f t="shared" si="32"/>
        <v>27"</v>
      </c>
    </row>
    <row r="151" spans="1:13">
      <c r="A151" s="23">
        <v>45681</v>
      </c>
      <c r="B151" t="s">
        <v>31</v>
      </c>
      <c r="C151" s="1">
        <v>4</v>
      </c>
      <c r="D151" s="3">
        <f t="shared" si="25"/>
        <v>342924</v>
      </c>
      <c r="E151" s="3">
        <f t="shared" si="31"/>
        <v>92589.48000000001</v>
      </c>
      <c r="F151" s="3">
        <f t="shared" si="29"/>
        <v>435513.48</v>
      </c>
      <c r="G151" t="s">
        <v>65</v>
      </c>
      <c r="H151" t="s">
        <v>180</v>
      </c>
      <c r="I151" s="3">
        <f t="shared" si="26"/>
        <v>103324</v>
      </c>
      <c r="J151" s="24">
        <f t="shared" si="27"/>
        <v>0.30130291259870989</v>
      </c>
      <c r="K151" s="24">
        <f t="shared" si="28"/>
        <v>0.43123539232053421</v>
      </c>
      <c r="L151" t="str">
        <f t="shared" si="30"/>
        <v>BenQ</v>
      </c>
      <c r="M151" s="25" t="str">
        <f t="shared" si="32"/>
        <v>32"</v>
      </c>
    </row>
    <row r="152" spans="1:13">
      <c r="A152" s="23">
        <v>45681</v>
      </c>
      <c r="B152" t="s">
        <v>19</v>
      </c>
      <c r="C152" s="1">
        <v>3</v>
      </c>
      <c r="D152" s="3">
        <f t="shared" si="25"/>
        <v>154020</v>
      </c>
      <c r="E152" s="3">
        <f t="shared" si="31"/>
        <v>41585.4</v>
      </c>
      <c r="F152" s="3">
        <f t="shared" si="29"/>
        <v>195605.4</v>
      </c>
      <c r="G152" t="s">
        <v>62</v>
      </c>
      <c r="H152" t="s">
        <v>174</v>
      </c>
      <c r="I152" s="3">
        <f t="shared" si="26"/>
        <v>52620</v>
      </c>
      <c r="J152" s="24">
        <f t="shared" si="27"/>
        <v>0.34164394234515</v>
      </c>
      <c r="K152" s="24">
        <f t="shared" si="28"/>
        <v>0.5189349112426036</v>
      </c>
      <c r="L152" t="str">
        <f t="shared" si="30"/>
        <v>ASUS</v>
      </c>
      <c r="M152" s="25" t="str">
        <f t="shared" si="32"/>
        <v>32"</v>
      </c>
    </row>
    <row r="153" spans="1:13">
      <c r="A153" s="23">
        <v>45681</v>
      </c>
      <c r="B153" t="s">
        <v>29</v>
      </c>
      <c r="C153" s="1">
        <v>4</v>
      </c>
      <c r="D153" s="3">
        <f t="shared" si="25"/>
        <v>249360</v>
      </c>
      <c r="E153" s="3">
        <f t="shared" si="31"/>
        <v>67327.200000000012</v>
      </c>
      <c r="F153" s="3">
        <f t="shared" si="29"/>
        <v>316687.2</v>
      </c>
      <c r="G153" t="s">
        <v>62</v>
      </c>
      <c r="H153" t="s">
        <v>181</v>
      </c>
      <c r="I153" s="3">
        <f t="shared" si="26"/>
        <v>84560</v>
      </c>
      <c r="J153" s="24">
        <f t="shared" si="27"/>
        <v>0.33910811677895414</v>
      </c>
      <c r="K153" s="24">
        <f t="shared" si="28"/>
        <v>0.51310679611650489</v>
      </c>
      <c r="L153" t="str">
        <f t="shared" si="30"/>
        <v>LG</v>
      </c>
      <c r="M153" s="25" t="str">
        <f t="shared" si="32"/>
        <v>32"</v>
      </c>
    </row>
    <row r="154" spans="1:13">
      <c r="A154" s="23">
        <v>45681</v>
      </c>
      <c r="B154" t="s">
        <v>30</v>
      </c>
      <c r="C154" s="1">
        <v>3</v>
      </c>
      <c r="D154" s="3">
        <f t="shared" si="25"/>
        <v>259422</v>
      </c>
      <c r="E154" s="3">
        <f t="shared" si="31"/>
        <v>70043.94</v>
      </c>
      <c r="F154" s="3">
        <f t="shared" si="29"/>
        <v>329465.94</v>
      </c>
      <c r="G154" t="s">
        <v>65</v>
      </c>
      <c r="H154" t="s">
        <v>182</v>
      </c>
      <c r="I154" s="3">
        <f t="shared" si="26"/>
        <v>87222</v>
      </c>
      <c r="J154" s="24">
        <f t="shared" si="27"/>
        <v>0.33621666628119434</v>
      </c>
      <c r="K154" s="24">
        <f t="shared" si="28"/>
        <v>0.50651567944250875</v>
      </c>
      <c r="L154" t="str">
        <f t="shared" si="30"/>
        <v>Samsung</v>
      </c>
      <c r="M154" s="25" t="str">
        <f t="shared" si="32"/>
        <v>32"</v>
      </c>
    </row>
    <row r="155" spans="1:13">
      <c r="A155" s="23">
        <v>45681</v>
      </c>
      <c r="B155" t="s">
        <v>35</v>
      </c>
      <c r="C155" s="1">
        <v>1</v>
      </c>
      <c r="D155" s="3">
        <f t="shared" si="25"/>
        <v>64014</v>
      </c>
      <c r="E155" s="3">
        <f t="shared" si="31"/>
        <v>17283.780000000002</v>
      </c>
      <c r="F155" s="3">
        <f t="shared" si="29"/>
        <v>81297.78</v>
      </c>
      <c r="G155" t="s">
        <v>62</v>
      </c>
      <c r="H155" t="s">
        <v>183</v>
      </c>
      <c r="I155" s="3">
        <f t="shared" si="26"/>
        <v>19714</v>
      </c>
      <c r="J155" s="24">
        <f t="shared" si="27"/>
        <v>0.30796388290061549</v>
      </c>
      <c r="K155" s="24">
        <f t="shared" si="28"/>
        <v>0.44501128668171558</v>
      </c>
      <c r="L155" t="str">
        <f t="shared" si="30"/>
        <v>ASUS</v>
      </c>
      <c r="M155" s="25" t="str">
        <f t="shared" si="32"/>
        <v>27"</v>
      </c>
    </row>
    <row r="156" spans="1:13">
      <c r="A156" s="23">
        <v>45682</v>
      </c>
      <c r="B156" t="s">
        <v>33</v>
      </c>
      <c r="C156" s="1">
        <v>1</v>
      </c>
      <c r="D156" s="3">
        <f t="shared" si="25"/>
        <v>52504</v>
      </c>
      <c r="E156" s="3">
        <f t="shared" si="31"/>
        <v>14176.080000000002</v>
      </c>
      <c r="F156" s="3">
        <f t="shared" si="29"/>
        <v>66680.08</v>
      </c>
      <c r="G156" t="s">
        <v>65</v>
      </c>
      <c r="H156" t="s">
        <v>119</v>
      </c>
      <c r="I156" s="3">
        <f t="shared" si="26"/>
        <v>16904</v>
      </c>
      <c r="J156" s="24">
        <f t="shared" si="27"/>
        <v>0.32195642236781957</v>
      </c>
      <c r="K156" s="24">
        <f t="shared" si="28"/>
        <v>0.47483146067415732</v>
      </c>
      <c r="L156" t="str">
        <f t="shared" si="30"/>
        <v>Samsung</v>
      </c>
      <c r="M156" s="25" t="str">
        <f t="shared" si="32"/>
        <v>32"</v>
      </c>
    </row>
    <row r="157" spans="1:13">
      <c r="A157" s="23">
        <v>45682</v>
      </c>
      <c r="B157" t="s">
        <v>18</v>
      </c>
      <c r="C157" s="1">
        <v>2</v>
      </c>
      <c r="D157" s="3">
        <f t="shared" si="25"/>
        <v>189448</v>
      </c>
      <c r="E157" s="3">
        <f t="shared" si="31"/>
        <v>51150.960000000006</v>
      </c>
      <c r="F157" s="3">
        <f t="shared" si="29"/>
        <v>240598.96000000002</v>
      </c>
      <c r="G157" t="s">
        <v>62</v>
      </c>
      <c r="H157" t="s">
        <v>184</v>
      </c>
      <c r="I157" s="3">
        <f t="shared" si="26"/>
        <v>54448</v>
      </c>
      <c r="J157" s="24">
        <f t="shared" si="27"/>
        <v>0.28740340357248428</v>
      </c>
      <c r="K157" s="24">
        <f t="shared" si="28"/>
        <v>0.40331851851851852</v>
      </c>
      <c r="L157" t="str">
        <f t="shared" si="30"/>
        <v>Acer</v>
      </c>
      <c r="M157" s="25" t="str">
        <f t="shared" si="32"/>
        <v>24"</v>
      </c>
    </row>
    <row r="158" spans="1:13">
      <c r="A158" s="23">
        <v>45682</v>
      </c>
      <c r="B158" t="s">
        <v>36</v>
      </c>
      <c r="C158" s="1">
        <v>1</v>
      </c>
      <c r="D158" s="3">
        <f t="shared" si="25"/>
        <v>80751</v>
      </c>
      <c r="E158" s="3">
        <f t="shared" si="31"/>
        <v>21802.77</v>
      </c>
      <c r="F158" s="3">
        <f t="shared" si="29"/>
        <v>102553.77</v>
      </c>
      <c r="G158" t="s">
        <v>62</v>
      </c>
      <c r="H158" t="s">
        <v>185</v>
      </c>
      <c r="I158" s="3">
        <f t="shared" si="26"/>
        <v>24951</v>
      </c>
      <c r="J158" s="24">
        <f t="shared" si="27"/>
        <v>0.3089868856113237</v>
      </c>
      <c r="K158" s="24">
        <f t="shared" si="28"/>
        <v>0.4471505376344086</v>
      </c>
      <c r="L158" t="str">
        <f t="shared" si="30"/>
        <v>LG</v>
      </c>
      <c r="M158" s="25" t="str">
        <f t="shared" si="32"/>
        <v>24"</v>
      </c>
    </row>
    <row r="159" spans="1:13">
      <c r="A159" s="23">
        <v>45682</v>
      </c>
      <c r="B159" t="s">
        <v>21</v>
      </c>
      <c r="C159" s="1">
        <v>4</v>
      </c>
      <c r="D159" s="3">
        <f t="shared" si="25"/>
        <v>298312</v>
      </c>
      <c r="E159" s="3">
        <f t="shared" si="31"/>
        <v>80544.240000000005</v>
      </c>
      <c r="F159" s="3">
        <f t="shared" si="29"/>
        <v>378856.24</v>
      </c>
      <c r="G159" t="s">
        <v>65</v>
      </c>
      <c r="H159" t="s">
        <v>186</v>
      </c>
      <c r="I159" s="3">
        <f t="shared" si="26"/>
        <v>97112</v>
      </c>
      <c r="J159" s="24">
        <f t="shared" si="27"/>
        <v>0.32553836251977797</v>
      </c>
      <c r="K159" s="24">
        <f t="shared" si="28"/>
        <v>0.48266401590457259</v>
      </c>
      <c r="L159" t="str">
        <f t="shared" si="30"/>
        <v>ASUS</v>
      </c>
      <c r="M159" s="25" t="str">
        <f t="shared" si="32"/>
        <v>32"</v>
      </c>
    </row>
    <row r="160" spans="1:13">
      <c r="A160" s="23">
        <v>45682</v>
      </c>
      <c r="B160" t="s">
        <v>20</v>
      </c>
      <c r="C160" s="1">
        <v>2</v>
      </c>
      <c r="D160" s="3">
        <f t="shared" si="25"/>
        <v>160998</v>
      </c>
      <c r="E160" s="3">
        <f t="shared" si="31"/>
        <v>43469.460000000006</v>
      </c>
      <c r="F160" s="3">
        <f t="shared" si="29"/>
        <v>204467.46000000002</v>
      </c>
      <c r="G160" t="s">
        <v>62</v>
      </c>
      <c r="H160" t="s">
        <v>125</v>
      </c>
      <c r="I160" s="3">
        <f t="shared" si="26"/>
        <v>48798</v>
      </c>
      <c r="J160" s="24">
        <f t="shared" si="27"/>
        <v>0.3030969328811538</v>
      </c>
      <c r="K160" s="24">
        <f t="shared" si="28"/>
        <v>0.4349197860962567</v>
      </c>
      <c r="L160" t="str">
        <f t="shared" si="30"/>
        <v>HP</v>
      </c>
      <c r="M160" s="25" t="str">
        <f t="shared" si="32"/>
        <v>27"</v>
      </c>
    </row>
    <row r="161" spans="1:13">
      <c r="A161" s="23">
        <v>45683</v>
      </c>
      <c r="B161" t="s">
        <v>15</v>
      </c>
      <c r="C161" s="1">
        <v>2</v>
      </c>
      <c r="D161" s="3">
        <f t="shared" si="25"/>
        <v>198210</v>
      </c>
      <c r="E161" s="3">
        <f t="shared" si="31"/>
        <v>53516.700000000004</v>
      </c>
      <c r="F161" s="3">
        <f t="shared" si="29"/>
        <v>251726.7</v>
      </c>
      <c r="G161" t="s">
        <v>62</v>
      </c>
      <c r="H161" t="s">
        <v>181</v>
      </c>
      <c r="I161" s="3">
        <f t="shared" si="26"/>
        <v>55810</v>
      </c>
      <c r="J161" s="24">
        <f t="shared" si="27"/>
        <v>0.28157005196508755</v>
      </c>
      <c r="K161" s="24">
        <f t="shared" si="28"/>
        <v>0.39192415730337077</v>
      </c>
      <c r="L161" t="str">
        <f t="shared" si="30"/>
        <v>Dell</v>
      </c>
      <c r="M161" s="25" t="str">
        <f t="shared" si="32"/>
        <v>27"</v>
      </c>
    </row>
    <row r="162" spans="1:13">
      <c r="A162" s="23">
        <v>45683</v>
      </c>
      <c r="B162" t="s">
        <v>17</v>
      </c>
      <c r="C162" s="1">
        <v>3</v>
      </c>
      <c r="D162" s="3">
        <f t="shared" ref="D162:D188" si="33">VLOOKUP(B162,$O$2:$Q$26,2,0)*C162</f>
        <v>190608</v>
      </c>
      <c r="E162" s="3">
        <f t="shared" si="31"/>
        <v>51464.160000000003</v>
      </c>
      <c r="F162" s="3">
        <f t="shared" si="29"/>
        <v>242072.16</v>
      </c>
      <c r="G162" t="s">
        <v>62</v>
      </c>
      <c r="H162" t="s">
        <v>64</v>
      </c>
      <c r="I162" s="3">
        <f t="shared" ref="I162:I188" si="34">D162-(VLOOKUP(B162,$O$2:$Q$27,3,FALSE)*C162)</f>
        <v>61908</v>
      </c>
      <c r="J162" s="24">
        <f t="shared" ref="J162:J188" si="35">I162/(VLOOKUP(B162,$O$2:$Q$26,2,FALSE)*C162)</f>
        <v>0.32479224376731303</v>
      </c>
      <c r="K162" s="24">
        <f t="shared" ref="K162:K188" si="36">I162/(VLOOKUP(B162,$O$2:$Q$26,3,FALSE)*C162)</f>
        <v>0.48102564102564105</v>
      </c>
      <c r="L162" t="str">
        <f t="shared" si="30"/>
        <v>Samsung</v>
      </c>
      <c r="M162" s="25" t="str">
        <f t="shared" si="32"/>
        <v>24"</v>
      </c>
    </row>
    <row r="163" spans="1:13">
      <c r="A163" s="23">
        <v>45683</v>
      </c>
      <c r="B163" t="s">
        <v>28</v>
      </c>
      <c r="C163" s="1">
        <v>3</v>
      </c>
      <c r="D163" s="3">
        <f t="shared" si="33"/>
        <v>266838</v>
      </c>
      <c r="E163" s="3">
        <f t="shared" si="31"/>
        <v>72046.260000000009</v>
      </c>
      <c r="F163" s="3">
        <f t="shared" si="29"/>
        <v>338884.26</v>
      </c>
      <c r="G163" t="s">
        <v>65</v>
      </c>
      <c r="H163" t="s">
        <v>187</v>
      </c>
      <c r="I163" s="3">
        <f t="shared" si="34"/>
        <v>80538</v>
      </c>
      <c r="J163" s="24">
        <f t="shared" si="35"/>
        <v>0.30182357835090956</v>
      </c>
      <c r="K163" s="24">
        <f t="shared" si="36"/>
        <v>0.43230273752012882</v>
      </c>
      <c r="L163" t="str">
        <f t="shared" si="30"/>
        <v>Samsung</v>
      </c>
      <c r="M163" s="25" t="str">
        <f t="shared" si="32"/>
        <v>27"</v>
      </c>
    </row>
    <row r="164" spans="1:13">
      <c r="A164" s="23">
        <v>45683</v>
      </c>
      <c r="B164" t="s">
        <v>32</v>
      </c>
      <c r="C164" s="1">
        <v>3</v>
      </c>
      <c r="D164" s="3">
        <f t="shared" si="33"/>
        <v>282741</v>
      </c>
      <c r="E164" s="3">
        <f t="shared" si="31"/>
        <v>76340.070000000007</v>
      </c>
      <c r="F164" s="3">
        <f t="shared" si="29"/>
        <v>359081.07</v>
      </c>
      <c r="G164" t="s">
        <v>62</v>
      </c>
      <c r="H164" t="s">
        <v>99</v>
      </c>
      <c r="I164" s="3">
        <f t="shared" si="34"/>
        <v>82641</v>
      </c>
      <c r="J164" s="24">
        <f t="shared" si="35"/>
        <v>0.29228516557556211</v>
      </c>
      <c r="K164" s="24">
        <f t="shared" si="36"/>
        <v>0.41299850074962519</v>
      </c>
      <c r="L164" t="str">
        <f t="shared" si="30"/>
        <v>LG</v>
      </c>
      <c r="M164" s="25" t="str">
        <f t="shared" si="32"/>
        <v>32"</v>
      </c>
    </row>
    <row r="165" spans="1:13">
      <c r="A165" s="23">
        <v>45683</v>
      </c>
      <c r="B165" t="s">
        <v>34</v>
      </c>
      <c r="C165" s="1">
        <v>3</v>
      </c>
      <c r="D165" s="3">
        <f t="shared" si="33"/>
        <v>257523</v>
      </c>
      <c r="E165" s="3">
        <f t="shared" si="31"/>
        <v>69531.210000000006</v>
      </c>
      <c r="F165" s="3">
        <f t="shared" si="29"/>
        <v>327054.21000000002</v>
      </c>
      <c r="G165" t="s">
        <v>62</v>
      </c>
      <c r="H165" t="s">
        <v>106</v>
      </c>
      <c r="I165" s="3">
        <f t="shared" si="34"/>
        <v>76023</v>
      </c>
      <c r="J165" s="24">
        <f t="shared" si="35"/>
        <v>0.29520858331100525</v>
      </c>
      <c r="K165" s="24">
        <f t="shared" si="36"/>
        <v>0.41885950413223139</v>
      </c>
      <c r="L165" t="str">
        <f t="shared" si="30"/>
        <v>Dell</v>
      </c>
      <c r="M165" s="25" t="str">
        <f t="shared" si="32"/>
        <v>24"</v>
      </c>
    </row>
    <row r="166" spans="1:13">
      <c r="A166" s="23">
        <v>45684</v>
      </c>
      <c r="B166" t="s">
        <v>14</v>
      </c>
      <c r="C166" s="1">
        <v>2</v>
      </c>
      <c r="D166" s="3">
        <f t="shared" si="33"/>
        <v>117416</v>
      </c>
      <c r="E166" s="3">
        <f t="shared" si="31"/>
        <v>31702.320000000003</v>
      </c>
      <c r="F166" s="3">
        <f t="shared" si="29"/>
        <v>149118.32</v>
      </c>
      <c r="G166" t="s">
        <v>65</v>
      </c>
      <c r="H166" t="s">
        <v>188</v>
      </c>
      <c r="I166" s="3">
        <f t="shared" si="34"/>
        <v>38616</v>
      </c>
      <c r="J166" s="24">
        <f t="shared" si="35"/>
        <v>0.3288819240989303</v>
      </c>
      <c r="K166" s="24">
        <f t="shared" si="36"/>
        <v>0.49005076142131981</v>
      </c>
      <c r="L166" t="str">
        <f t="shared" si="30"/>
        <v>Samsung</v>
      </c>
      <c r="M166" s="25" t="str">
        <f t="shared" si="32"/>
        <v>27"</v>
      </c>
    </row>
    <row r="167" spans="1:13">
      <c r="A167" s="23">
        <v>45684</v>
      </c>
      <c r="B167" t="s">
        <v>36</v>
      </c>
      <c r="C167" s="1">
        <v>1</v>
      </c>
      <c r="D167" s="3">
        <f t="shared" si="33"/>
        <v>80751</v>
      </c>
      <c r="E167" s="3">
        <f t="shared" si="31"/>
        <v>21802.77</v>
      </c>
      <c r="F167" s="3">
        <f t="shared" si="29"/>
        <v>102553.77</v>
      </c>
      <c r="G167" t="s">
        <v>65</v>
      </c>
      <c r="H167" t="s">
        <v>86</v>
      </c>
      <c r="I167" s="3">
        <f t="shared" si="34"/>
        <v>24951</v>
      </c>
      <c r="J167" s="24">
        <f t="shared" si="35"/>
        <v>0.3089868856113237</v>
      </c>
      <c r="K167" s="24">
        <f t="shared" si="36"/>
        <v>0.4471505376344086</v>
      </c>
      <c r="L167" t="str">
        <f t="shared" si="30"/>
        <v>LG</v>
      </c>
      <c r="M167" s="25" t="str">
        <f t="shared" si="32"/>
        <v>24"</v>
      </c>
    </row>
    <row r="168" spans="1:13">
      <c r="A168" s="23">
        <v>45684</v>
      </c>
      <c r="B168" t="s">
        <v>25</v>
      </c>
      <c r="C168" s="1">
        <v>1</v>
      </c>
      <c r="D168" s="3">
        <f t="shared" si="33"/>
        <v>88127</v>
      </c>
      <c r="E168" s="3">
        <f t="shared" si="31"/>
        <v>23794.29</v>
      </c>
      <c r="F168" s="3">
        <f t="shared" si="29"/>
        <v>111921.29000000001</v>
      </c>
      <c r="G168" t="s">
        <v>62</v>
      </c>
      <c r="H168" t="s">
        <v>189</v>
      </c>
      <c r="I168" s="3">
        <f t="shared" si="34"/>
        <v>27327</v>
      </c>
      <c r="J168" s="24">
        <f t="shared" si="35"/>
        <v>0.31008657959535668</v>
      </c>
      <c r="K168" s="24">
        <f t="shared" si="36"/>
        <v>0.44945723684210526</v>
      </c>
      <c r="L168" t="str">
        <f t="shared" si="30"/>
        <v>Samsung</v>
      </c>
      <c r="M168" s="25" t="str">
        <f t="shared" si="32"/>
        <v>24"</v>
      </c>
    </row>
    <row r="169" spans="1:13">
      <c r="A169" s="23">
        <v>45684</v>
      </c>
      <c r="B169" t="s">
        <v>35</v>
      </c>
      <c r="C169" s="1">
        <v>1</v>
      </c>
      <c r="D169" s="3">
        <f t="shared" si="33"/>
        <v>64014</v>
      </c>
      <c r="E169" s="3">
        <f t="shared" si="31"/>
        <v>17283.780000000002</v>
      </c>
      <c r="F169" s="3">
        <f t="shared" si="29"/>
        <v>81297.78</v>
      </c>
      <c r="G169" t="s">
        <v>65</v>
      </c>
      <c r="H169" t="s">
        <v>190</v>
      </c>
      <c r="I169" s="3">
        <f t="shared" si="34"/>
        <v>19714</v>
      </c>
      <c r="J169" s="24">
        <f t="shared" si="35"/>
        <v>0.30796388290061549</v>
      </c>
      <c r="K169" s="24">
        <f t="shared" si="36"/>
        <v>0.44501128668171558</v>
      </c>
      <c r="L169" t="str">
        <f t="shared" si="30"/>
        <v>ASUS</v>
      </c>
      <c r="M169" s="25" t="str">
        <f t="shared" si="32"/>
        <v>27"</v>
      </c>
    </row>
    <row r="170" spans="1:13">
      <c r="A170" s="23">
        <v>45684</v>
      </c>
      <c r="B170" t="s">
        <v>27</v>
      </c>
      <c r="C170" s="1">
        <v>1</v>
      </c>
      <c r="D170" s="3">
        <f t="shared" si="33"/>
        <v>61035</v>
      </c>
      <c r="E170" s="3">
        <f t="shared" si="31"/>
        <v>16479.45</v>
      </c>
      <c r="F170" s="3">
        <f t="shared" si="29"/>
        <v>77514.45</v>
      </c>
      <c r="G170" t="s">
        <v>62</v>
      </c>
      <c r="H170" t="s">
        <v>191</v>
      </c>
      <c r="I170" s="3">
        <f t="shared" si="34"/>
        <v>20835</v>
      </c>
      <c r="J170" s="24">
        <f t="shared" si="35"/>
        <v>0.34136151388547553</v>
      </c>
      <c r="K170" s="24">
        <f t="shared" si="36"/>
        <v>0.51828358208955227</v>
      </c>
      <c r="L170" t="str">
        <f t="shared" si="30"/>
        <v>HP</v>
      </c>
      <c r="M170" s="25" t="str">
        <f t="shared" si="32"/>
        <v>27"</v>
      </c>
    </row>
    <row r="171" spans="1:13">
      <c r="A171" s="23">
        <v>45684</v>
      </c>
      <c r="B171" t="s">
        <v>24</v>
      </c>
      <c r="C171" s="1">
        <v>2</v>
      </c>
      <c r="D171" s="3">
        <f t="shared" si="33"/>
        <v>195722</v>
      </c>
      <c r="E171" s="3">
        <f t="shared" si="31"/>
        <v>52844.94</v>
      </c>
      <c r="F171" s="3">
        <f t="shared" si="29"/>
        <v>248566.94</v>
      </c>
      <c r="G171" t="s">
        <v>65</v>
      </c>
      <c r="H171" t="s">
        <v>95</v>
      </c>
      <c r="I171" s="3">
        <f t="shared" si="34"/>
        <v>56922</v>
      </c>
      <c r="J171" s="24">
        <f t="shared" si="35"/>
        <v>0.29083087235977562</v>
      </c>
      <c r="K171" s="24">
        <f t="shared" si="36"/>
        <v>0.41010086455331413</v>
      </c>
      <c r="L171" t="str">
        <f t="shared" si="30"/>
        <v>Dell</v>
      </c>
      <c r="M171" s="25" t="str">
        <f t="shared" si="32"/>
        <v>27"</v>
      </c>
    </row>
    <row r="172" spans="1:13">
      <c r="A172" s="23">
        <v>45685</v>
      </c>
      <c r="B172" t="s">
        <v>26</v>
      </c>
      <c r="C172" s="1">
        <v>3</v>
      </c>
      <c r="D172" s="3">
        <f t="shared" si="33"/>
        <v>265047</v>
      </c>
      <c r="E172" s="3">
        <f t="shared" si="31"/>
        <v>71562.69</v>
      </c>
      <c r="F172" s="3">
        <f t="shared" si="29"/>
        <v>336609.69</v>
      </c>
      <c r="G172" t="s">
        <v>65</v>
      </c>
      <c r="H172" t="s">
        <v>79</v>
      </c>
      <c r="I172" s="3">
        <f t="shared" si="34"/>
        <v>79947</v>
      </c>
      <c r="J172" s="24">
        <f t="shared" si="35"/>
        <v>0.30163329522688431</v>
      </c>
      <c r="K172" s="24">
        <f t="shared" si="36"/>
        <v>0.4319124797406807</v>
      </c>
      <c r="L172" t="str">
        <f t="shared" si="30"/>
        <v>LG</v>
      </c>
      <c r="M172" s="25" t="str">
        <f t="shared" si="32"/>
        <v>27"</v>
      </c>
    </row>
    <row r="173" spans="1:13">
      <c r="A173" s="23">
        <v>45685</v>
      </c>
      <c r="B173" t="s">
        <v>22</v>
      </c>
      <c r="C173" s="1">
        <v>1</v>
      </c>
      <c r="D173" s="3">
        <f t="shared" si="33"/>
        <v>96782</v>
      </c>
      <c r="E173" s="3">
        <f t="shared" si="31"/>
        <v>26131.140000000003</v>
      </c>
      <c r="F173" s="3">
        <f t="shared" si="29"/>
        <v>122913.14</v>
      </c>
      <c r="G173" t="s">
        <v>62</v>
      </c>
      <c r="H173" t="s">
        <v>190</v>
      </c>
      <c r="I173" s="3">
        <f t="shared" si="34"/>
        <v>28482</v>
      </c>
      <c r="J173" s="24">
        <f t="shared" si="35"/>
        <v>0.29429026058564611</v>
      </c>
      <c r="K173" s="24">
        <f t="shared" si="36"/>
        <v>0.41701317715959002</v>
      </c>
      <c r="L173" t="str">
        <f t="shared" si="30"/>
        <v>Acer</v>
      </c>
      <c r="M173" s="25" t="str">
        <f t="shared" si="32"/>
        <v>27"</v>
      </c>
    </row>
    <row r="174" spans="1:13">
      <c r="A174" s="23">
        <v>45685</v>
      </c>
      <c r="B174" t="s">
        <v>33</v>
      </c>
      <c r="C174" s="1">
        <v>1</v>
      </c>
      <c r="D174" s="3">
        <f t="shared" si="33"/>
        <v>52504</v>
      </c>
      <c r="E174" s="3">
        <f t="shared" si="31"/>
        <v>14176.080000000002</v>
      </c>
      <c r="F174" s="3">
        <f t="shared" si="29"/>
        <v>66680.08</v>
      </c>
      <c r="G174" t="s">
        <v>62</v>
      </c>
      <c r="H174" t="s">
        <v>192</v>
      </c>
      <c r="I174" s="3">
        <f t="shared" si="34"/>
        <v>16904</v>
      </c>
      <c r="J174" s="24">
        <f t="shared" si="35"/>
        <v>0.32195642236781957</v>
      </c>
      <c r="K174" s="24">
        <f t="shared" si="36"/>
        <v>0.47483146067415732</v>
      </c>
      <c r="L174" t="str">
        <f t="shared" si="30"/>
        <v>Samsung</v>
      </c>
      <c r="M174" s="25" t="str">
        <f t="shared" si="32"/>
        <v>32"</v>
      </c>
    </row>
    <row r="175" spans="1:13">
      <c r="A175" s="23">
        <v>45685</v>
      </c>
      <c r="B175" t="s">
        <v>23</v>
      </c>
      <c r="C175" s="1">
        <v>2</v>
      </c>
      <c r="D175" s="3">
        <f t="shared" si="33"/>
        <v>142592</v>
      </c>
      <c r="E175" s="3">
        <f t="shared" si="31"/>
        <v>38499.840000000004</v>
      </c>
      <c r="F175" s="3">
        <f t="shared" si="29"/>
        <v>181091.84</v>
      </c>
      <c r="G175" t="s">
        <v>65</v>
      </c>
      <c r="H175" t="s">
        <v>63</v>
      </c>
      <c r="I175" s="3">
        <f t="shared" si="34"/>
        <v>45392</v>
      </c>
      <c r="J175" s="24">
        <f t="shared" si="35"/>
        <v>0.31833482944344704</v>
      </c>
      <c r="K175" s="24">
        <f t="shared" si="36"/>
        <v>0.46699588477366255</v>
      </c>
      <c r="L175" t="str">
        <f t="shared" si="30"/>
        <v>Samsung</v>
      </c>
      <c r="M175" s="25" t="str">
        <f t="shared" si="32"/>
        <v>27"</v>
      </c>
    </row>
    <row r="176" spans="1:13">
      <c r="A176" s="23">
        <v>45685</v>
      </c>
      <c r="B176" t="s">
        <v>31</v>
      </c>
      <c r="C176" s="1">
        <v>1</v>
      </c>
      <c r="D176" s="3">
        <f t="shared" si="33"/>
        <v>85731</v>
      </c>
      <c r="E176" s="3">
        <f t="shared" si="31"/>
        <v>23147.370000000003</v>
      </c>
      <c r="F176" s="3">
        <f t="shared" si="29"/>
        <v>108878.37</v>
      </c>
      <c r="G176" t="s">
        <v>65</v>
      </c>
      <c r="H176" t="s">
        <v>193</v>
      </c>
      <c r="I176" s="3">
        <f t="shared" si="34"/>
        <v>25831</v>
      </c>
      <c r="J176" s="24">
        <f t="shared" si="35"/>
        <v>0.30130291259870989</v>
      </c>
      <c r="K176" s="24">
        <f t="shared" si="36"/>
        <v>0.43123539232053421</v>
      </c>
      <c r="L176" t="str">
        <f t="shared" si="30"/>
        <v>BenQ</v>
      </c>
      <c r="M176" s="25" t="str">
        <f t="shared" si="32"/>
        <v>32"</v>
      </c>
    </row>
    <row r="177" spans="1:13">
      <c r="A177" s="23">
        <v>45685</v>
      </c>
      <c r="B177" t="s">
        <v>26</v>
      </c>
      <c r="C177" s="1">
        <v>2</v>
      </c>
      <c r="D177" s="3">
        <f t="shared" si="33"/>
        <v>176698</v>
      </c>
      <c r="E177" s="3">
        <f t="shared" si="31"/>
        <v>47708.460000000006</v>
      </c>
      <c r="F177" s="3">
        <f t="shared" si="29"/>
        <v>224406.46000000002</v>
      </c>
      <c r="G177" t="s">
        <v>65</v>
      </c>
      <c r="H177" t="s">
        <v>194</v>
      </c>
      <c r="I177" s="3">
        <f t="shared" si="34"/>
        <v>53298</v>
      </c>
      <c r="J177" s="24">
        <f t="shared" si="35"/>
        <v>0.30163329522688431</v>
      </c>
      <c r="K177" s="24">
        <f t="shared" si="36"/>
        <v>0.4319124797406807</v>
      </c>
      <c r="L177" t="str">
        <f t="shared" si="30"/>
        <v>LG</v>
      </c>
      <c r="M177" s="25" t="str">
        <f t="shared" si="32"/>
        <v>27"</v>
      </c>
    </row>
    <row r="178" spans="1:13">
      <c r="A178" s="23">
        <v>45686</v>
      </c>
      <c r="B178" t="s">
        <v>34</v>
      </c>
      <c r="C178" s="1">
        <v>1</v>
      </c>
      <c r="D178" s="3">
        <f t="shared" si="33"/>
        <v>85841</v>
      </c>
      <c r="E178" s="3">
        <f t="shared" si="31"/>
        <v>23177.07</v>
      </c>
      <c r="F178" s="3">
        <f t="shared" si="29"/>
        <v>109018.07</v>
      </c>
      <c r="G178" t="s">
        <v>65</v>
      </c>
      <c r="H178" t="s">
        <v>195</v>
      </c>
      <c r="I178" s="3">
        <f t="shared" si="34"/>
        <v>25341</v>
      </c>
      <c r="J178" s="24">
        <f t="shared" si="35"/>
        <v>0.29520858331100525</v>
      </c>
      <c r="K178" s="24">
        <f t="shared" si="36"/>
        <v>0.41885950413223139</v>
      </c>
      <c r="L178" t="str">
        <f t="shared" si="30"/>
        <v>Dell</v>
      </c>
      <c r="M178" s="25" t="str">
        <f t="shared" si="32"/>
        <v>24"</v>
      </c>
    </row>
    <row r="179" spans="1:13">
      <c r="A179" s="23">
        <v>45686</v>
      </c>
      <c r="B179" t="s">
        <v>34</v>
      </c>
      <c r="C179" s="1">
        <v>1</v>
      </c>
      <c r="D179" s="3">
        <f t="shared" si="33"/>
        <v>85841</v>
      </c>
      <c r="E179" s="3">
        <f t="shared" si="31"/>
        <v>23177.07</v>
      </c>
      <c r="F179" s="3">
        <f t="shared" si="29"/>
        <v>109018.07</v>
      </c>
      <c r="G179" t="s">
        <v>65</v>
      </c>
      <c r="H179" t="s">
        <v>196</v>
      </c>
      <c r="I179" s="3">
        <f t="shared" si="34"/>
        <v>25341</v>
      </c>
      <c r="J179" s="24">
        <f t="shared" si="35"/>
        <v>0.29520858331100525</v>
      </c>
      <c r="K179" s="24">
        <f t="shared" si="36"/>
        <v>0.41885950413223139</v>
      </c>
      <c r="L179" t="str">
        <f t="shared" si="30"/>
        <v>Dell</v>
      </c>
      <c r="M179" s="25" t="str">
        <f t="shared" si="32"/>
        <v>24"</v>
      </c>
    </row>
    <row r="180" spans="1:13">
      <c r="A180" s="23">
        <v>45686</v>
      </c>
      <c r="B180" t="s">
        <v>32</v>
      </c>
      <c r="C180" s="1">
        <v>3</v>
      </c>
      <c r="D180" s="3">
        <f t="shared" si="33"/>
        <v>282741</v>
      </c>
      <c r="E180" s="3">
        <f t="shared" si="31"/>
        <v>76340.070000000007</v>
      </c>
      <c r="F180" s="3">
        <f t="shared" si="29"/>
        <v>359081.07</v>
      </c>
      <c r="G180" t="s">
        <v>65</v>
      </c>
      <c r="H180" t="s">
        <v>197</v>
      </c>
      <c r="I180" s="3">
        <f t="shared" si="34"/>
        <v>82641</v>
      </c>
      <c r="J180" s="24">
        <f t="shared" si="35"/>
        <v>0.29228516557556211</v>
      </c>
      <c r="K180" s="24">
        <f t="shared" si="36"/>
        <v>0.41299850074962519</v>
      </c>
      <c r="L180" t="str">
        <f t="shared" si="30"/>
        <v>LG</v>
      </c>
      <c r="M180" s="25" t="str">
        <f t="shared" si="32"/>
        <v>32"</v>
      </c>
    </row>
    <row r="181" spans="1:13">
      <c r="A181" s="23">
        <v>45687</v>
      </c>
      <c r="B181" t="s">
        <v>33</v>
      </c>
      <c r="C181" s="1">
        <v>4</v>
      </c>
      <c r="D181" s="3">
        <f t="shared" si="33"/>
        <v>210016</v>
      </c>
      <c r="E181" s="3">
        <f t="shared" si="31"/>
        <v>56704.320000000007</v>
      </c>
      <c r="F181" s="3">
        <f t="shared" si="29"/>
        <v>266720.32</v>
      </c>
      <c r="G181" t="s">
        <v>65</v>
      </c>
      <c r="H181" t="s">
        <v>74</v>
      </c>
      <c r="I181" s="3">
        <f t="shared" si="34"/>
        <v>67616</v>
      </c>
      <c r="J181" s="24">
        <f t="shared" si="35"/>
        <v>0.32195642236781957</v>
      </c>
      <c r="K181" s="24">
        <f t="shared" si="36"/>
        <v>0.47483146067415732</v>
      </c>
      <c r="L181" t="str">
        <f t="shared" si="30"/>
        <v>Samsung</v>
      </c>
      <c r="M181" s="25" t="str">
        <f t="shared" si="32"/>
        <v>32"</v>
      </c>
    </row>
    <row r="182" spans="1:13">
      <c r="A182" s="23">
        <v>45687</v>
      </c>
      <c r="B182" t="s">
        <v>30</v>
      </c>
      <c r="C182" s="1">
        <v>3</v>
      </c>
      <c r="D182" s="3">
        <f t="shared" si="33"/>
        <v>259422</v>
      </c>
      <c r="E182" s="3">
        <f t="shared" si="31"/>
        <v>70043.94</v>
      </c>
      <c r="F182" s="3">
        <f t="shared" si="29"/>
        <v>329465.94</v>
      </c>
      <c r="G182" t="s">
        <v>65</v>
      </c>
      <c r="H182" t="s">
        <v>108</v>
      </c>
      <c r="I182" s="3">
        <f t="shared" si="34"/>
        <v>87222</v>
      </c>
      <c r="J182" s="24">
        <f t="shared" si="35"/>
        <v>0.33621666628119434</v>
      </c>
      <c r="K182" s="24">
        <f t="shared" si="36"/>
        <v>0.50651567944250875</v>
      </c>
      <c r="L182" t="str">
        <f t="shared" si="30"/>
        <v>Samsung</v>
      </c>
      <c r="M182" s="25" t="str">
        <f t="shared" si="32"/>
        <v>32"</v>
      </c>
    </row>
    <row r="183" spans="1:13">
      <c r="A183" s="23">
        <v>45687</v>
      </c>
      <c r="B183" t="s">
        <v>19</v>
      </c>
      <c r="C183" s="1">
        <v>1</v>
      </c>
      <c r="D183" s="3">
        <f t="shared" si="33"/>
        <v>51340</v>
      </c>
      <c r="E183" s="3">
        <f t="shared" si="31"/>
        <v>13861.800000000001</v>
      </c>
      <c r="F183" s="3">
        <f t="shared" si="29"/>
        <v>65201.8</v>
      </c>
      <c r="G183" t="s">
        <v>62</v>
      </c>
      <c r="H183" t="s">
        <v>198</v>
      </c>
      <c r="I183" s="3">
        <f t="shared" si="34"/>
        <v>17540</v>
      </c>
      <c r="J183" s="24">
        <f t="shared" si="35"/>
        <v>0.34164394234515</v>
      </c>
      <c r="K183" s="24">
        <f t="shared" si="36"/>
        <v>0.5189349112426036</v>
      </c>
      <c r="L183" t="str">
        <f t="shared" si="30"/>
        <v>ASUS</v>
      </c>
      <c r="M183" s="25" t="str">
        <f t="shared" si="32"/>
        <v>32"</v>
      </c>
    </row>
    <row r="184" spans="1:13">
      <c r="A184" s="23">
        <v>45687</v>
      </c>
      <c r="B184" t="s">
        <v>35</v>
      </c>
      <c r="C184" s="1">
        <v>1</v>
      </c>
      <c r="D184" s="3">
        <f t="shared" si="33"/>
        <v>64014</v>
      </c>
      <c r="E184" s="3">
        <f t="shared" si="31"/>
        <v>17283.780000000002</v>
      </c>
      <c r="F184" s="3">
        <f t="shared" si="29"/>
        <v>81297.78</v>
      </c>
      <c r="G184" t="s">
        <v>65</v>
      </c>
      <c r="H184" t="s">
        <v>199</v>
      </c>
      <c r="I184" s="3">
        <f t="shared" si="34"/>
        <v>19714</v>
      </c>
      <c r="J184" s="24">
        <f t="shared" si="35"/>
        <v>0.30796388290061549</v>
      </c>
      <c r="K184" s="24">
        <f t="shared" si="36"/>
        <v>0.44501128668171558</v>
      </c>
      <c r="L184" t="str">
        <f t="shared" si="30"/>
        <v>ASUS</v>
      </c>
      <c r="M184" s="25" t="str">
        <f t="shared" si="32"/>
        <v>27"</v>
      </c>
    </row>
    <row r="185" spans="1:13">
      <c r="A185" s="23">
        <v>45687</v>
      </c>
      <c r="B185" t="s">
        <v>27</v>
      </c>
      <c r="C185" s="1">
        <v>1</v>
      </c>
      <c r="D185" s="3">
        <f t="shared" si="33"/>
        <v>61035</v>
      </c>
      <c r="E185" s="3">
        <f t="shared" si="31"/>
        <v>16479.45</v>
      </c>
      <c r="F185" s="3">
        <f t="shared" si="29"/>
        <v>77514.45</v>
      </c>
      <c r="G185" t="s">
        <v>65</v>
      </c>
      <c r="H185" t="s">
        <v>200</v>
      </c>
      <c r="I185" s="3">
        <f t="shared" si="34"/>
        <v>20835</v>
      </c>
      <c r="J185" s="24">
        <f t="shared" si="35"/>
        <v>0.34136151388547553</v>
      </c>
      <c r="K185" s="24">
        <f t="shared" si="36"/>
        <v>0.51828358208955227</v>
      </c>
      <c r="L185" t="str">
        <f t="shared" si="30"/>
        <v>HP</v>
      </c>
      <c r="M185" s="25" t="str">
        <f t="shared" si="32"/>
        <v>27"</v>
      </c>
    </row>
    <row r="186" spans="1:13">
      <c r="A186" s="23">
        <v>45687</v>
      </c>
      <c r="B186" t="s">
        <v>23</v>
      </c>
      <c r="C186" s="1">
        <v>1</v>
      </c>
      <c r="D186" s="3">
        <f t="shared" si="33"/>
        <v>71296</v>
      </c>
      <c r="E186" s="3">
        <f t="shared" si="31"/>
        <v>19249.920000000002</v>
      </c>
      <c r="F186" s="3">
        <f t="shared" si="29"/>
        <v>90545.919999999998</v>
      </c>
      <c r="G186" t="s">
        <v>65</v>
      </c>
      <c r="H186" t="s">
        <v>201</v>
      </c>
      <c r="I186" s="3">
        <f t="shared" si="34"/>
        <v>22696</v>
      </c>
      <c r="J186" s="24">
        <f t="shared" si="35"/>
        <v>0.31833482944344704</v>
      </c>
      <c r="K186" s="24">
        <f t="shared" si="36"/>
        <v>0.46699588477366255</v>
      </c>
      <c r="L186" t="str">
        <f t="shared" si="30"/>
        <v>Samsung</v>
      </c>
      <c r="M186" s="25" t="str">
        <f t="shared" si="32"/>
        <v>27"</v>
      </c>
    </row>
    <row r="187" spans="1:13">
      <c r="A187" s="23">
        <v>45687</v>
      </c>
      <c r="B187" t="s">
        <v>32</v>
      </c>
      <c r="C187" s="1">
        <v>3</v>
      </c>
      <c r="D187" s="3">
        <f t="shared" si="33"/>
        <v>282741</v>
      </c>
      <c r="E187" s="3">
        <f t="shared" si="31"/>
        <v>76340.070000000007</v>
      </c>
      <c r="F187" s="3">
        <f t="shared" si="29"/>
        <v>359081.07</v>
      </c>
      <c r="G187" t="s">
        <v>65</v>
      </c>
      <c r="H187" t="s">
        <v>136</v>
      </c>
      <c r="I187" s="3">
        <f t="shared" si="34"/>
        <v>82641</v>
      </c>
      <c r="J187" s="24">
        <f t="shared" si="35"/>
        <v>0.29228516557556211</v>
      </c>
      <c r="K187" s="24">
        <f t="shared" si="36"/>
        <v>0.41299850074962519</v>
      </c>
      <c r="L187" t="str">
        <f t="shared" si="30"/>
        <v>LG</v>
      </c>
      <c r="M187" s="25" t="str">
        <f t="shared" si="32"/>
        <v>32"</v>
      </c>
    </row>
    <row r="188" spans="1:13">
      <c r="A188" s="26">
        <v>45687</v>
      </c>
      <c r="B188" s="27" t="s">
        <v>29</v>
      </c>
      <c r="C188" s="28">
        <v>1</v>
      </c>
      <c r="D188" s="29">
        <f t="shared" si="33"/>
        <v>62340</v>
      </c>
      <c r="E188" s="29">
        <f t="shared" si="31"/>
        <v>16831.800000000003</v>
      </c>
      <c r="F188" s="29">
        <f t="shared" si="29"/>
        <v>79171.8</v>
      </c>
      <c r="G188" s="27" t="s">
        <v>65</v>
      </c>
      <c r="H188" s="27" t="s">
        <v>202</v>
      </c>
      <c r="I188" s="29">
        <f t="shared" si="34"/>
        <v>21140</v>
      </c>
      <c r="J188" s="30">
        <f t="shared" si="35"/>
        <v>0.33910811677895414</v>
      </c>
      <c r="K188" s="30">
        <f t="shared" si="36"/>
        <v>0.51310679611650489</v>
      </c>
      <c r="L188" s="27" t="str">
        <f t="shared" si="30"/>
        <v>LG</v>
      </c>
      <c r="M188" s="31" t="str">
        <f t="shared" si="32"/>
        <v>32"</v>
      </c>
    </row>
    <row r="189" spans="1:13">
      <c r="I189" s="3"/>
    </row>
  </sheetData>
  <phoneticPr fontId="1" type="noConversion"/>
  <pageMargins left="0.75" right="0.75" top="1" bottom="1" header="0.5" footer="0.5"/>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42FC8-8044-40A5-90D9-E9082697B164}">
  <dimension ref="A1:E211"/>
  <sheetViews>
    <sheetView showGridLines="0" tabSelected="1" topLeftCell="A195" workbookViewId="0">
      <selection activeCell="I18" sqref="I18"/>
    </sheetView>
  </sheetViews>
  <sheetFormatPr defaultRowHeight="14.4"/>
  <cols>
    <col min="1" max="1" width="24.44140625" bestFit="1" customWidth="1"/>
    <col min="2" max="2" width="12.21875" bestFit="1" customWidth="1"/>
    <col min="3" max="3" width="8" bestFit="1" customWidth="1"/>
    <col min="4" max="4" width="16.44140625" bestFit="1" customWidth="1"/>
    <col min="5" max="5" width="14.109375" bestFit="1" customWidth="1"/>
    <col min="6" max="6" width="13.88671875" bestFit="1" customWidth="1"/>
    <col min="7" max="11" width="12.33203125" bestFit="1" customWidth="1"/>
    <col min="12" max="14" width="10.6640625" bestFit="1" customWidth="1"/>
    <col min="15" max="17" width="12.33203125" bestFit="1" customWidth="1"/>
    <col min="18" max="19" width="10.6640625" bestFit="1" customWidth="1"/>
    <col min="20" max="20" width="12.33203125" bestFit="1" customWidth="1"/>
    <col min="21" max="23" width="10.6640625" bestFit="1" customWidth="1"/>
    <col min="24" max="25" width="12.33203125" bestFit="1" customWidth="1"/>
    <col min="26" max="26" width="10.6640625" bestFit="1" customWidth="1"/>
    <col min="27" max="27" width="12.33203125" bestFit="1" customWidth="1"/>
    <col min="28" max="30" width="10.6640625" bestFit="1" customWidth="1"/>
    <col min="31" max="31" width="12.33203125" bestFit="1" customWidth="1"/>
    <col min="32" max="32" width="12.109375" bestFit="1" customWidth="1"/>
    <col min="33" max="61" width="10.6640625" bestFit="1" customWidth="1"/>
    <col min="62" max="62" width="17.44140625" bestFit="1" customWidth="1"/>
    <col min="63" max="91" width="10.33203125" bestFit="1" customWidth="1"/>
    <col min="92" max="92" width="23.33203125" bestFit="1" customWidth="1"/>
    <col min="93" max="93" width="16.88671875" bestFit="1" customWidth="1"/>
    <col min="94" max="94" width="22.33203125" bestFit="1" customWidth="1"/>
  </cols>
  <sheetData>
    <row r="1" spans="1:5" ht="15" thickBot="1"/>
    <row r="2" spans="1:5" ht="15" thickTop="1"/>
    <row r="3" spans="1:5">
      <c r="A3" s="41" t="s">
        <v>203</v>
      </c>
      <c r="B3" s="39" t="s">
        <v>204</v>
      </c>
      <c r="C3" s="39" t="s">
        <v>205</v>
      </c>
      <c r="D3" s="39" t="s">
        <v>206</v>
      </c>
      <c r="E3" s="39" t="s">
        <v>207</v>
      </c>
    </row>
    <row r="4" spans="1:5">
      <c r="A4" s="42" t="s">
        <v>18</v>
      </c>
      <c r="B4" s="43">
        <v>353912</v>
      </c>
      <c r="C4" s="44">
        <v>3.676698758514739E-2</v>
      </c>
      <c r="D4" s="45">
        <v>13</v>
      </c>
      <c r="E4" s="43">
        <v>1231412</v>
      </c>
    </row>
    <row r="5" spans="1:5">
      <c r="A5" s="46" t="s">
        <v>184</v>
      </c>
      <c r="B5" s="43">
        <v>54448</v>
      </c>
      <c r="C5" s="44">
        <v>0.15384615384615385</v>
      </c>
      <c r="D5" s="45">
        <v>2</v>
      </c>
      <c r="E5" s="43">
        <v>189448</v>
      </c>
    </row>
    <row r="6" spans="1:5">
      <c r="A6" s="46" t="s">
        <v>96</v>
      </c>
      <c r="B6" s="43">
        <v>108896</v>
      </c>
      <c r="C6" s="44">
        <v>0.30769230769230771</v>
      </c>
      <c r="D6" s="45">
        <v>4</v>
      </c>
      <c r="E6" s="43">
        <v>378896</v>
      </c>
    </row>
    <row r="7" spans="1:5">
      <c r="A7" s="46" t="s">
        <v>166</v>
      </c>
      <c r="B7" s="43">
        <v>54448</v>
      </c>
      <c r="C7" s="44">
        <v>0.15384615384615385</v>
      </c>
      <c r="D7" s="45">
        <v>2</v>
      </c>
      <c r="E7" s="43">
        <v>189448</v>
      </c>
    </row>
    <row r="8" spans="1:5">
      <c r="A8" s="46" t="s">
        <v>114</v>
      </c>
      <c r="B8" s="43">
        <v>54448</v>
      </c>
      <c r="C8" s="44">
        <v>0.15384615384615385</v>
      </c>
      <c r="D8" s="45">
        <v>2</v>
      </c>
      <c r="E8" s="43">
        <v>189448</v>
      </c>
    </row>
    <row r="9" spans="1:5">
      <c r="A9" s="46" t="s">
        <v>64</v>
      </c>
      <c r="B9" s="43">
        <v>27224</v>
      </c>
      <c r="C9" s="44">
        <v>7.6923076923076927E-2</v>
      </c>
      <c r="D9" s="45">
        <v>1</v>
      </c>
      <c r="E9" s="43">
        <v>94724</v>
      </c>
    </row>
    <row r="10" spans="1:5">
      <c r="A10" s="46" t="s">
        <v>99</v>
      </c>
      <c r="B10" s="43">
        <v>27224</v>
      </c>
      <c r="C10" s="44">
        <v>7.6923076923076927E-2</v>
      </c>
      <c r="D10" s="45">
        <v>1</v>
      </c>
      <c r="E10" s="43">
        <v>94724</v>
      </c>
    </row>
    <row r="11" spans="1:5">
      <c r="A11" s="46" t="s">
        <v>120</v>
      </c>
      <c r="B11" s="43">
        <v>27224</v>
      </c>
      <c r="C11" s="44">
        <v>7.6923076923076927E-2</v>
      </c>
      <c r="D11" s="45">
        <v>1</v>
      </c>
      <c r="E11" s="43">
        <v>94724</v>
      </c>
    </row>
    <row r="12" spans="1:5">
      <c r="A12" s="42" t="s">
        <v>22</v>
      </c>
      <c r="B12" s="43">
        <v>427230</v>
      </c>
      <c r="C12" s="44">
        <v>4.438380192251893E-2</v>
      </c>
      <c r="D12" s="45">
        <v>15</v>
      </c>
      <c r="E12" s="43">
        <v>1451730</v>
      </c>
    </row>
    <row r="13" spans="1:5">
      <c r="A13" s="46" t="s">
        <v>177</v>
      </c>
      <c r="B13" s="43">
        <v>85446</v>
      </c>
      <c r="C13" s="44">
        <v>0.2</v>
      </c>
      <c r="D13" s="45">
        <v>3</v>
      </c>
      <c r="E13" s="43">
        <v>290346</v>
      </c>
    </row>
    <row r="14" spans="1:5">
      <c r="A14" s="46" t="s">
        <v>190</v>
      </c>
      <c r="B14" s="43">
        <v>28482</v>
      </c>
      <c r="C14" s="44">
        <v>6.6666666666666666E-2</v>
      </c>
      <c r="D14" s="45">
        <v>1</v>
      </c>
      <c r="E14" s="43">
        <v>96782</v>
      </c>
    </row>
    <row r="15" spans="1:5">
      <c r="A15" s="46" t="s">
        <v>104</v>
      </c>
      <c r="B15" s="43">
        <v>28482</v>
      </c>
      <c r="C15" s="44">
        <v>6.6666666666666666E-2</v>
      </c>
      <c r="D15" s="45">
        <v>1</v>
      </c>
      <c r="E15" s="43">
        <v>96782</v>
      </c>
    </row>
    <row r="16" spans="1:5">
      <c r="A16" s="46" t="s">
        <v>11</v>
      </c>
      <c r="B16" s="43">
        <v>113928</v>
      </c>
      <c r="C16" s="44">
        <v>0.26666666666666666</v>
      </c>
      <c r="D16" s="45">
        <v>4</v>
      </c>
      <c r="E16" s="43">
        <v>387128</v>
      </c>
    </row>
    <row r="17" spans="1:5">
      <c r="A17" s="46" t="s">
        <v>158</v>
      </c>
      <c r="B17" s="43">
        <v>85446</v>
      </c>
      <c r="C17" s="44">
        <v>0.2</v>
      </c>
      <c r="D17" s="45">
        <v>3</v>
      </c>
      <c r="E17" s="43">
        <v>290346</v>
      </c>
    </row>
    <row r="18" spans="1:5">
      <c r="A18" s="46" t="s">
        <v>127</v>
      </c>
      <c r="B18" s="43">
        <v>28482</v>
      </c>
      <c r="C18" s="44">
        <v>6.6666666666666666E-2</v>
      </c>
      <c r="D18" s="45">
        <v>1</v>
      </c>
      <c r="E18" s="43">
        <v>96782</v>
      </c>
    </row>
    <row r="19" spans="1:5">
      <c r="A19" s="46" t="s">
        <v>83</v>
      </c>
      <c r="B19" s="43">
        <v>56964</v>
      </c>
      <c r="C19" s="44">
        <v>0.13333333333333333</v>
      </c>
      <c r="D19" s="45">
        <v>2</v>
      </c>
      <c r="E19" s="43">
        <v>193564</v>
      </c>
    </row>
    <row r="20" spans="1:5">
      <c r="A20" s="42" t="s">
        <v>35</v>
      </c>
      <c r="B20" s="43">
        <v>571706</v>
      </c>
      <c r="C20" s="44">
        <v>5.939303387382816E-2</v>
      </c>
      <c r="D20" s="45">
        <v>29</v>
      </c>
      <c r="E20" s="43">
        <v>1856406</v>
      </c>
    </row>
    <row r="21" spans="1:5">
      <c r="A21" s="46" t="s">
        <v>164</v>
      </c>
      <c r="B21" s="43">
        <v>59142</v>
      </c>
      <c r="C21" s="44">
        <v>0.10344827586206896</v>
      </c>
      <c r="D21" s="45">
        <v>3</v>
      </c>
      <c r="E21" s="43">
        <v>192042</v>
      </c>
    </row>
    <row r="22" spans="1:5">
      <c r="A22" s="46" t="s">
        <v>190</v>
      </c>
      <c r="B22" s="43">
        <v>19714</v>
      </c>
      <c r="C22" s="44">
        <v>3.4482758620689655E-2</v>
      </c>
      <c r="D22" s="45">
        <v>1</v>
      </c>
      <c r="E22" s="43">
        <v>64014</v>
      </c>
    </row>
    <row r="23" spans="1:5">
      <c r="A23" s="46" t="s">
        <v>139</v>
      </c>
      <c r="B23" s="43">
        <v>19714</v>
      </c>
      <c r="C23" s="44">
        <v>3.4482758620689655E-2</v>
      </c>
      <c r="D23" s="45">
        <v>1</v>
      </c>
      <c r="E23" s="43">
        <v>64014</v>
      </c>
    </row>
    <row r="24" spans="1:5">
      <c r="A24" s="46" t="s">
        <v>80</v>
      </c>
      <c r="B24" s="43">
        <v>19714</v>
      </c>
      <c r="C24" s="44">
        <v>3.4482758620689655E-2</v>
      </c>
      <c r="D24" s="45">
        <v>1</v>
      </c>
      <c r="E24" s="43">
        <v>64014</v>
      </c>
    </row>
    <row r="25" spans="1:5">
      <c r="A25" s="46" t="s">
        <v>183</v>
      </c>
      <c r="B25" s="43">
        <v>19714</v>
      </c>
      <c r="C25" s="44">
        <v>3.4482758620689655E-2</v>
      </c>
      <c r="D25" s="45">
        <v>1</v>
      </c>
      <c r="E25" s="43">
        <v>64014</v>
      </c>
    </row>
    <row r="26" spans="1:5">
      <c r="A26" s="46" t="s">
        <v>11</v>
      </c>
      <c r="B26" s="43">
        <v>19714</v>
      </c>
      <c r="C26" s="44">
        <v>3.4482758620689655E-2</v>
      </c>
      <c r="D26" s="45">
        <v>1</v>
      </c>
      <c r="E26" s="43">
        <v>64014</v>
      </c>
    </row>
    <row r="27" spans="1:5">
      <c r="A27" s="46" t="s">
        <v>156</v>
      </c>
      <c r="B27" s="43">
        <v>39428</v>
      </c>
      <c r="C27" s="44">
        <v>6.8965517241379309E-2</v>
      </c>
      <c r="D27" s="45">
        <v>2</v>
      </c>
      <c r="E27" s="43">
        <v>128028</v>
      </c>
    </row>
    <row r="28" spans="1:5">
      <c r="A28" s="46" t="s">
        <v>89</v>
      </c>
      <c r="B28" s="43">
        <v>78856</v>
      </c>
      <c r="C28" s="44">
        <v>0.13793103448275862</v>
      </c>
      <c r="D28" s="45">
        <v>4</v>
      </c>
      <c r="E28" s="43">
        <v>256056</v>
      </c>
    </row>
    <row r="29" spans="1:5">
      <c r="A29" s="46" t="s">
        <v>125</v>
      </c>
      <c r="B29" s="43">
        <v>59142</v>
      </c>
      <c r="C29" s="44">
        <v>0.10344827586206896</v>
      </c>
      <c r="D29" s="45">
        <v>3</v>
      </c>
      <c r="E29" s="43">
        <v>192042</v>
      </c>
    </row>
    <row r="30" spans="1:5">
      <c r="A30" s="46" t="s">
        <v>117</v>
      </c>
      <c r="B30" s="43">
        <v>19714</v>
      </c>
      <c r="C30" s="44">
        <v>3.4482758620689655E-2</v>
      </c>
      <c r="D30" s="45">
        <v>1</v>
      </c>
      <c r="E30" s="43">
        <v>64014</v>
      </c>
    </row>
    <row r="31" spans="1:5">
      <c r="A31" s="46" t="s">
        <v>173</v>
      </c>
      <c r="B31" s="43">
        <v>39428</v>
      </c>
      <c r="C31" s="44">
        <v>6.8965517241379309E-2</v>
      </c>
      <c r="D31" s="45">
        <v>2</v>
      </c>
      <c r="E31" s="43">
        <v>128028</v>
      </c>
    </row>
    <row r="32" spans="1:5">
      <c r="A32" s="46" t="s">
        <v>93</v>
      </c>
      <c r="B32" s="43">
        <v>59142</v>
      </c>
      <c r="C32" s="44">
        <v>0.10344827586206896</v>
      </c>
      <c r="D32" s="45">
        <v>3</v>
      </c>
      <c r="E32" s="43">
        <v>192042</v>
      </c>
    </row>
    <row r="33" spans="1:5">
      <c r="A33" s="46" t="s">
        <v>147</v>
      </c>
      <c r="B33" s="43">
        <v>59142</v>
      </c>
      <c r="C33" s="44">
        <v>0.10344827586206896</v>
      </c>
      <c r="D33" s="45">
        <v>3</v>
      </c>
      <c r="E33" s="43">
        <v>192042</v>
      </c>
    </row>
    <row r="34" spans="1:5">
      <c r="A34" s="46" t="s">
        <v>100</v>
      </c>
      <c r="B34" s="43">
        <v>39428</v>
      </c>
      <c r="C34" s="44">
        <v>6.8965517241379309E-2</v>
      </c>
      <c r="D34" s="45">
        <v>2</v>
      </c>
      <c r="E34" s="43">
        <v>128028</v>
      </c>
    </row>
    <row r="35" spans="1:5">
      <c r="A35" s="46" t="s">
        <v>199</v>
      </c>
      <c r="B35" s="43">
        <v>19714</v>
      </c>
      <c r="C35" s="44">
        <v>3.4482758620689655E-2</v>
      </c>
      <c r="D35" s="45">
        <v>1</v>
      </c>
      <c r="E35" s="43">
        <v>64014</v>
      </c>
    </row>
    <row r="36" spans="1:5">
      <c r="A36" s="42" t="s">
        <v>21</v>
      </c>
      <c r="B36" s="43">
        <v>339892</v>
      </c>
      <c r="C36" s="44">
        <v>3.5310486630266612E-2</v>
      </c>
      <c r="D36" s="45">
        <v>14</v>
      </c>
      <c r="E36" s="43">
        <v>1044092</v>
      </c>
    </row>
    <row r="37" spans="1:5">
      <c r="A37" s="46" t="s">
        <v>132</v>
      </c>
      <c r="B37" s="43">
        <v>72834</v>
      </c>
      <c r="C37" s="44">
        <v>0.21428571428571427</v>
      </c>
      <c r="D37" s="45">
        <v>3</v>
      </c>
      <c r="E37" s="43">
        <v>223734</v>
      </c>
    </row>
    <row r="38" spans="1:5">
      <c r="A38" s="46" t="s">
        <v>186</v>
      </c>
      <c r="B38" s="43">
        <v>97112</v>
      </c>
      <c r="C38" s="44">
        <v>0.2857142857142857</v>
      </c>
      <c r="D38" s="45">
        <v>4</v>
      </c>
      <c r="E38" s="43">
        <v>298312</v>
      </c>
    </row>
    <row r="39" spans="1:5">
      <c r="A39" s="46" t="s">
        <v>116</v>
      </c>
      <c r="B39" s="43">
        <v>24278</v>
      </c>
      <c r="C39" s="44">
        <v>7.1428571428571425E-2</v>
      </c>
      <c r="D39" s="45">
        <v>1</v>
      </c>
      <c r="E39" s="43">
        <v>74578</v>
      </c>
    </row>
    <row r="40" spans="1:5">
      <c r="A40" s="46" t="s">
        <v>149</v>
      </c>
      <c r="B40" s="43">
        <v>24278</v>
      </c>
      <c r="C40" s="44">
        <v>7.1428571428571425E-2</v>
      </c>
      <c r="D40" s="45">
        <v>1</v>
      </c>
      <c r="E40" s="43">
        <v>74578</v>
      </c>
    </row>
    <row r="41" spans="1:5">
      <c r="A41" s="46" t="s">
        <v>71</v>
      </c>
      <c r="B41" s="43">
        <v>24278</v>
      </c>
      <c r="C41" s="44">
        <v>7.1428571428571425E-2</v>
      </c>
      <c r="D41" s="45">
        <v>1</v>
      </c>
      <c r="E41" s="43">
        <v>74578</v>
      </c>
    </row>
    <row r="42" spans="1:5">
      <c r="A42" s="46" t="s">
        <v>94</v>
      </c>
      <c r="B42" s="43">
        <v>72834</v>
      </c>
      <c r="C42" s="44">
        <v>0.21428571428571427</v>
      </c>
      <c r="D42" s="45">
        <v>3</v>
      </c>
      <c r="E42" s="43">
        <v>223734</v>
      </c>
    </row>
    <row r="43" spans="1:5">
      <c r="A43" s="46" t="s">
        <v>167</v>
      </c>
      <c r="B43" s="43">
        <v>24278</v>
      </c>
      <c r="C43" s="44">
        <v>7.1428571428571425E-2</v>
      </c>
      <c r="D43" s="45">
        <v>1</v>
      </c>
      <c r="E43" s="43">
        <v>74578</v>
      </c>
    </row>
    <row r="44" spans="1:5">
      <c r="A44" s="42" t="s">
        <v>19</v>
      </c>
      <c r="B44" s="43">
        <v>333260</v>
      </c>
      <c r="C44" s="44">
        <v>3.4621505579427142E-2</v>
      </c>
      <c r="D44" s="45">
        <v>19</v>
      </c>
      <c r="E44" s="43">
        <v>975460</v>
      </c>
    </row>
    <row r="45" spans="1:5">
      <c r="A45" s="46" t="s">
        <v>174</v>
      </c>
      <c r="B45" s="43">
        <v>52620</v>
      </c>
      <c r="C45" s="44">
        <v>0.15789473684210525</v>
      </c>
      <c r="D45" s="45">
        <v>3</v>
      </c>
      <c r="E45" s="43">
        <v>154020</v>
      </c>
    </row>
    <row r="46" spans="1:5">
      <c r="A46" s="46" t="s">
        <v>144</v>
      </c>
      <c r="B46" s="43">
        <v>52620</v>
      </c>
      <c r="C46" s="44">
        <v>0.15789473684210525</v>
      </c>
      <c r="D46" s="45">
        <v>3</v>
      </c>
      <c r="E46" s="43">
        <v>154020</v>
      </c>
    </row>
    <row r="47" spans="1:5">
      <c r="A47" s="46" t="s">
        <v>63</v>
      </c>
      <c r="B47" s="43">
        <v>17540</v>
      </c>
      <c r="C47" s="44">
        <v>5.2631578947368418E-2</v>
      </c>
      <c r="D47" s="45">
        <v>1</v>
      </c>
      <c r="E47" s="43">
        <v>51340</v>
      </c>
    </row>
    <row r="48" spans="1:5">
      <c r="A48" s="46" t="s">
        <v>130</v>
      </c>
      <c r="B48" s="43">
        <v>17540</v>
      </c>
      <c r="C48" s="44">
        <v>5.2631578947368418E-2</v>
      </c>
      <c r="D48" s="45">
        <v>1</v>
      </c>
      <c r="E48" s="43">
        <v>51340</v>
      </c>
    </row>
    <row r="49" spans="1:5">
      <c r="A49" s="46" t="s">
        <v>110</v>
      </c>
      <c r="B49" s="43">
        <v>52620</v>
      </c>
      <c r="C49" s="44">
        <v>0.15789473684210525</v>
      </c>
      <c r="D49" s="45">
        <v>3</v>
      </c>
      <c r="E49" s="43">
        <v>154020</v>
      </c>
    </row>
    <row r="50" spans="1:5">
      <c r="A50" s="46" t="s">
        <v>86</v>
      </c>
      <c r="B50" s="43">
        <v>52620</v>
      </c>
      <c r="C50" s="44">
        <v>0.15789473684210525</v>
      </c>
      <c r="D50" s="45">
        <v>3</v>
      </c>
      <c r="E50" s="43">
        <v>154020</v>
      </c>
    </row>
    <row r="51" spans="1:5">
      <c r="A51" s="46" t="s">
        <v>162</v>
      </c>
      <c r="B51" s="43">
        <v>70160</v>
      </c>
      <c r="C51" s="44">
        <v>0.21052631578947367</v>
      </c>
      <c r="D51" s="45">
        <v>4</v>
      </c>
      <c r="E51" s="43">
        <v>205360</v>
      </c>
    </row>
    <row r="52" spans="1:5">
      <c r="A52" s="46" t="s">
        <v>198</v>
      </c>
      <c r="B52" s="43">
        <v>17540</v>
      </c>
      <c r="C52" s="44">
        <v>5.2631578947368418E-2</v>
      </c>
      <c r="D52" s="45">
        <v>1</v>
      </c>
      <c r="E52" s="43">
        <v>51340</v>
      </c>
    </row>
    <row r="53" spans="1:5">
      <c r="A53" s="42" t="s">
        <v>31</v>
      </c>
      <c r="B53" s="43">
        <v>490789</v>
      </c>
      <c r="C53" s="44">
        <v>5.0986779396931727E-2</v>
      </c>
      <c r="D53" s="45">
        <v>19</v>
      </c>
      <c r="E53" s="43">
        <v>1628889</v>
      </c>
    </row>
    <row r="54" spans="1:5">
      <c r="A54" s="46" t="s">
        <v>66</v>
      </c>
      <c r="B54" s="43">
        <v>103324</v>
      </c>
      <c r="C54" s="44">
        <v>0.21052631578947367</v>
      </c>
      <c r="D54" s="45">
        <v>4</v>
      </c>
      <c r="E54" s="43">
        <v>342924</v>
      </c>
    </row>
    <row r="55" spans="1:5">
      <c r="A55" s="46" t="s">
        <v>161</v>
      </c>
      <c r="B55" s="43">
        <v>25831</v>
      </c>
      <c r="C55" s="44">
        <v>5.2631578947368418E-2</v>
      </c>
      <c r="D55" s="45">
        <v>1</v>
      </c>
      <c r="E55" s="43">
        <v>85731</v>
      </c>
    </row>
    <row r="56" spans="1:5">
      <c r="A56" s="46" t="s">
        <v>143</v>
      </c>
      <c r="B56" s="43">
        <v>103324</v>
      </c>
      <c r="C56" s="44">
        <v>0.21052631578947367</v>
      </c>
      <c r="D56" s="45">
        <v>4</v>
      </c>
      <c r="E56" s="43">
        <v>342924</v>
      </c>
    </row>
    <row r="57" spans="1:5">
      <c r="A57" s="46" t="s">
        <v>193</v>
      </c>
      <c r="B57" s="43">
        <v>25831</v>
      </c>
      <c r="C57" s="44">
        <v>5.2631578947368418E-2</v>
      </c>
      <c r="D57" s="45">
        <v>1</v>
      </c>
      <c r="E57" s="43">
        <v>85731</v>
      </c>
    </row>
    <row r="58" spans="1:5">
      <c r="A58" s="46" t="s">
        <v>180</v>
      </c>
      <c r="B58" s="43">
        <v>103324</v>
      </c>
      <c r="C58" s="44">
        <v>0.21052631578947367</v>
      </c>
      <c r="D58" s="45">
        <v>4</v>
      </c>
      <c r="E58" s="43">
        <v>342924</v>
      </c>
    </row>
    <row r="59" spans="1:5">
      <c r="A59" s="46" t="s">
        <v>85</v>
      </c>
      <c r="B59" s="43">
        <v>103324</v>
      </c>
      <c r="C59" s="44">
        <v>0.21052631578947367</v>
      </c>
      <c r="D59" s="45">
        <v>4</v>
      </c>
      <c r="E59" s="43">
        <v>342924</v>
      </c>
    </row>
    <row r="60" spans="1:5">
      <c r="A60" s="46" t="s">
        <v>109</v>
      </c>
      <c r="B60" s="43">
        <v>25831</v>
      </c>
      <c r="C60" s="44">
        <v>5.2631578947368418E-2</v>
      </c>
      <c r="D60" s="45">
        <v>1</v>
      </c>
      <c r="E60" s="43">
        <v>85731</v>
      </c>
    </row>
    <row r="61" spans="1:5">
      <c r="A61" s="42" t="s">
        <v>34</v>
      </c>
      <c r="B61" s="43">
        <v>557502</v>
      </c>
      <c r="C61" s="44">
        <v>5.791741764250672E-2</v>
      </c>
      <c r="D61" s="45">
        <v>22</v>
      </c>
      <c r="E61" s="43">
        <v>1888502</v>
      </c>
    </row>
    <row r="62" spans="1:5">
      <c r="A62" s="46" t="s">
        <v>106</v>
      </c>
      <c r="B62" s="43">
        <v>76023</v>
      </c>
      <c r="C62" s="44">
        <v>0.13636363636363635</v>
      </c>
      <c r="D62" s="45">
        <v>3</v>
      </c>
      <c r="E62" s="43">
        <v>257523</v>
      </c>
    </row>
    <row r="63" spans="1:5">
      <c r="A63" s="46" t="s">
        <v>76</v>
      </c>
      <c r="B63" s="43">
        <v>25341</v>
      </c>
      <c r="C63" s="44">
        <v>4.5454545454545456E-2</v>
      </c>
      <c r="D63" s="45">
        <v>1</v>
      </c>
      <c r="E63" s="43">
        <v>85841</v>
      </c>
    </row>
    <row r="64" spans="1:5">
      <c r="A64" s="46" t="s">
        <v>195</v>
      </c>
      <c r="B64" s="43">
        <v>25341</v>
      </c>
      <c r="C64" s="44">
        <v>4.5454545454545456E-2</v>
      </c>
      <c r="D64" s="45">
        <v>1</v>
      </c>
      <c r="E64" s="43">
        <v>85841</v>
      </c>
    </row>
    <row r="65" spans="1:5">
      <c r="A65" s="46" t="s">
        <v>101</v>
      </c>
      <c r="B65" s="43">
        <v>50682</v>
      </c>
      <c r="C65" s="44">
        <v>9.0909090909090912E-2</v>
      </c>
      <c r="D65" s="45">
        <v>2</v>
      </c>
      <c r="E65" s="43">
        <v>171682</v>
      </c>
    </row>
    <row r="66" spans="1:5">
      <c r="A66" s="46" t="s">
        <v>122</v>
      </c>
      <c r="B66" s="43">
        <v>126705</v>
      </c>
      <c r="C66" s="44">
        <v>0.22727272727272727</v>
      </c>
      <c r="D66" s="45">
        <v>5</v>
      </c>
      <c r="E66" s="43">
        <v>429205</v>
      </c>
    </row>
    <row r="67" spans="1:5">
      <c r="A67" s="46" t="s">
        <v>153</v>
      </c>
      <c r="B67" s="43">
        <v>76023</v>
      </c>
      <c r="C67" s="44">
        <v>0.13636363636363635</v>
      </c>
      <c r="D67" s="45">
        <v>3</v>
      </c>
      <c r="E67" s="43">
        <v>257523</v>
      </c>
    </row>
    <row r="68" spans="1:5">
      <c r="A68" s="46" t="s">
        <v>72</v>
      </c>
      <c r="B68" s="43">
        <v>76023</v>
      </c>
      <c r="C68" s="44">
        <v>0.13636363636363635</v>
      </c>
      <c r="D68" s="45">
        <v>3</v>
      </c>
      <c r="E68" s="43">
        <v>257523</v>
      </c>
    </row>
    <row r="69" spans="1:5">
      <c r="A69" s="46" t="s">
        <v>160</v>
      </c>
      <c r="B69" s="43">
        <v>76023</v>
      </c>
      <c r="C69" s="44">
        <v>0.13636363636363635</v>
      </c>
      <c r="D69" s="45">
        <v>3</v>
      </c>
      <c r="E69" s="43">
        <v>257523</v>
      </c>
    </row>
    <row r="70" spans="1:5">
      <c r="A70" s="46" t="s">
        <v>196</v>
      </c>
      <c r="B70" s="43">
        <v>25341</v>
      </c>
      <c r="C70" s="44">
        <v>4.5454545454545456E-2</v>
      </c>
      <c r="D70" s="45">
        <v>1</v>
      </c>
      <c r="E70" s="43">
        <v>85841</v>
      </c>
    </row>
    <row r="71" spans="1:5">
      <c r="A71" s="42" t="s">
        <v>24</v>
      </c>
      <c r="B71" s="43">
        <v>426915</v>
      </c>
      <c r="C71" s="44">
        <v>4.4351077400351491E-2</v>
      </c>
      <c r="D71" s="45">
        <v>15</v>
      </c>
      <c r="E71" s="43">
        <v>1467915</v>
      </c>
    </row>
    <row r="72" spans="1:5">
      <c r="A72" s="46" t="s">
        <v>141</v>
      </c>
      <c r="B72" s="43">
        <v>85383</v>
      </c>
      <c r="C72" s="44">
        <v>0.2</v>
      </c>
      <c r="D72" s="45">
        <v>3</v>
      </c>
      <c r="E72" s="43">
        <v>293583</v>
      </c>
    </row>
    <row r="73" spans="1:5">
      <c r="A73" s="46" t="s">
        <v>175</v>
      </c>
      <c r="B73" s="43">
        <v>28461</v>
      </c>
      <c r="C73" s="44">
        <v>6.6666666666666666E-2</v>
      </c>
      <c r="D73" s="45">
        <v>1</v>
      </c>
      <c r="E73" s="43">
        <v>97861</v>
      </c>
    </row>
    <row r="74" spans="1:5">
      <c r="A74" s="46" t="s">
        <v>95</v>
      </c>
      <c r="B74" s="43">
        <v>56922</v>
      </c>
      <c r="C74" s="44">
        <v>0.13333333333333333</v>
      </c>
      <c r="D74" s="45">
        <v>2</v>
      </c>
      <c r="E74" s="43">
        <v>195722</v>
      </c>
    </row>
    <row r="75" spans="1:5">
      <c r="A75" s="46" t="s">
        <v>83</v>
      </c>
      <c r="B75" s="43">
        <v>28461</v>
      </c>
      <c r="C75" s="44">
        <v>6.6666666666666666E-2</v>
      </c>
      <c r="D75" s="45">
        <v>1</v>
      </c>
      <c r="E75" s="43">
        <v>97861</v>
      </c>
    </row>
    <row r="76" spans="1:5">
      <c r="A76" s="46" t="s">
        <v>75</v>
      </c>
      <c r="B76" s="43">
        <v>28461</v>
      </c>
      <c r="C76" s="44">
        <v>6.6666666666666666E-2</v>
      </c>
      <c r="D76" s="45">
        <v>1</v>
      </c>
      <c r="E76" s="43">
        <v>97861</v>
      </c>
    </row>
    <row r="77" spans="1:5">
      <c r="A77" s="46" t="s">
        <v>107</v>
      </c>
      <c r="B77" s="43">
        <v>85383</v>
      </c>
      <c r="C77" s="44">
        <v>0.2</v>
      </c>
      <c r="D77" s="45">
        <v>3</v>
      </c>
      <c r="E77" s="43">
        <v>293583</v>
      </c>
    </row>
    <row r="78" spans="1:5">
      <c r="A78" s="46" t="s">
        <v>82</v>
      </c>
      <c r="B78" s="43">
        <v>113844</v>
      </c>
      <c r="C78" s="44">
        <v>0.26666666666666666</v>
      </c>
      <c r="D78" s="45">
        <v>4</v>
      </c>
      <c r="E78" s="43">
        <v>391444</v>
      </c>
    </row>
    <row r="79" spans="1:5">
      <c r="A79" s="42" t="s">
        <v>15</v>
      </c>
      <c r="B79" s="43">
        <v>306955</v>
      </c>
      <c r="C79" s="44">
        <v>3.1888748260016378E-2</v>
      </c>
      <c r="D79" s="45">
        <v>11</v>
      </c>
      <c r="E79" s="43">
        <v>1090155</v>
      </c>
    </row>
    <row r="80" spans="1:5">
      <c r="A80" s="46" t="s">
        <v>134</v>
      </c>
      <c r="B80" s="43">
        <v>55810</v>
      </c>
      <c r="C80" s="44">
        <v>0.18181818181818182</v>
      </c>
      <c r="D80" s="45">
        <v>2</v>
      </c>
      <c r="E80" s="43">
        <v>198210</v>
      </c>
    </row>
    <row r="81" spans="1:5">
      <c r="A81" s="46" t="s">
        <v>117</v>
      </c>
      <c r="B81" s="43">
        <v>27905</v>
      </c>
      <c r="C81" s="44">
        <v>9.0909090909090912E-2</v>
      </c>
      <c r="D81" s="45">
        <v>1</v>
      </c>
      <c r="E81" s="43">
        <v>99105</v>
      </c>
    </row>
    <row r="82" spans="1:5">
      <c r="A82" s="46" t="s">
        <v>72</v>
      </c>
      <c r="B82" s="43">
        <v>55810</v>
      </c>
      <c r="C82" s="44">
        <v>0.18181818181818182</v>
      </c>
      <c r="D82" s="45">
        <v>2</v>
      </c>
      <c r="E82" s="43">
        <v>198210</v>
      </c>
    </row>
    <row r="83" spans="1:5">
      <c r="A83" s="46" t="s">
        <v>168</v>
      </c>
      <c r="B83" s="43">
        <v>27905</v>
      </c>
      <c r="C83" s="44">
        <v>9.0909090909090912E-2</v>
      </c>
      <c r="D83" s="45">
        <v>1</v>
      </c>
      <c r="E83" s="43">
        <v>99105</v>
      </c>
    </row>
    <row r="84" spans="1:5">
      <c r="A84" s="46" t="s">
        <v>181</v>
      </c>
      <c r="B84" s="43">
        <v>55810</v>
      </c>
      <c r="C84" s="44">
        <v>0.18181818181818182</v>
      </c>
      <c r="D84" s="45">
        <v>2</v>
      </c>
      <c r="E84" s="43">
        <v>198210</v>
      </c>
    </row>
    <row r="85" spans="1:5">
      <c r="A85" s="46" t="s">
        <v>95</v>
      </c>
      <c r="B85" s="43">
        <v>55810</v>
      </c>
      <c r="C85" s="44">
        <v>0.18181818181818182</v>
      </c>
      <c r="D85" s="45">
        <v>2</v>
      </c>
      <c r="E85" s="43">
        <v>198210</v>
      </c>
    </row>
    <row r="86" spans="1:5">
      <c r="A86" s="46" t="s">
        <v>64</v>
      </c>
      <c r="B86" s="43">
        <v>27905</v>
      </c>
      <c r="C86" s="44">
        <v>9.0909090909090912E-2</v>
      </c>
      <c r="D86" s="45">
        <v>1</v>
      </c>
      <c r="E86" s="43">
        <v>99105</v>
      </c>
    </row>
    <row r="87" spans="1:5">
      <c r="A87" s="42" t="s">
        <v>20</v>
      </c>
      <c r="B87" s="43">
        <v>341586</v>
      </c>
      <c r="C87" s="44">
        <v>3.5486471838367041E-2</v>
      </c>
      <c r="D87" s="45">
        <v>14</v>
      </c>
      <c r="E87" s="43">
        <v>1126986</v>
      </c>
    </row>
    <row r="88" spans="1:5">
      <c r="A88" s="46" t="s">
        <v>150</v>
      </c>
      <c r="B88" s="43">
        <v>24399</v>
      </c>
      <c r="C88" s="44">
        <v>7.1428571428571425E-2</v>
      </c>
      <c r="D88" s="45">
        <v>1</v>
      </c>
      <c r="E88" s="43">
        <v>80499</v>
      </c>
    </row>
    <row r="89" spans="1:5">
      <c r="A89" s="46" t="s">
        <v>125</v>
      </c>
      <c r="B89" s="43">
        <v>146394</v>
      </c>
      <c r="C89" s="44">
        <v>0.42857142857142855</v>
      </c>
      <c r="D89" s="45">
        <v>6</v>
      </c>
      <c r="E89" s="43">
        <v>482994</v>
      </c>
    </row>
    <row r="90" spans="1:5">
      <c r="A90" s="46" t="s">
        <v>118</v>
      </c>
      <c r="B90" s="43">
        <v>73197</v>
      </c>
      <c r="C90" s="44">
        <v>0.21428571428571427</v>
      </c>
      <c r="D90" s="45">
        <v>3</v>
      </c>
      <c r="E90" s="43">
        <v>241497</v>
      </c>
    </row>
    <row r="91" spans="1:5">
      <c r="A91" s="46" t="s">
        <v>75</v>
      </c>
      <c r="B91" s="43">
        <v>24399</v>
      </c>
      <c r="C91" s="44">
        <v>7.1428571428571425E-2</v>
      </c>
      <c r="D91" s="45">
        <v>1</v>
      </c>
      <c r="E91" s="43">
        <v>80499</v>
      </c>
    </row>
    <row r="92" spans="1:5">
      <c r="A92" s="46" t="s">
        <v>133</v>
      </c>
      <c r="B92" s="43">
        <v>24399</v>
      </c>
      <c r="C92" s="44">
        <v>7.1428571428571425E-2</v>
      </c>
      <c r="D92" s="45">
        <v>1</v>
      </c>
      <c r="E92" s="43">
        <v>80499</v>
      </c>
    </row>
    <row r="93" spans="1:5">
      <c r="A93" s="46" t="s">
        <v>88</v>
      </c>
      <c r="B93" s="43">
        <v>48798</v>
      </c>
      <c r="C93" s="44">
        <v>0.14285714285714285</v>
      </c>
      <c r="D93" s="45">
        <v>2</v>
      </c>
      <c r="E93" s="43">
        <v>160998</v>
      </c>
    </row>
    <row r="94" spans="1:5">
      <c r="A94" s="42" t="s">
        <v>27</v>
      </c>
      <c r="B94" s="43">
        <v>458370</v>
      </c>
      <c r="C94" s="44">
        <v>4.7618854685356836E-2</v>
      </c>
      <c r="D94" s="45">
        <v>22</v>
      </c>
      <c r="E94" s="43">
        <v>1342770</v>
      </c>
    </row>
    <row r="95" spans="1:5">
      <c r="A95" s="46" t="s">
        <v>174</v>
      </c>
      <c r="B95" s="43">
        <v>83340</v>
      </c>
      <c r="C95" s="44">
        <v>0.18181818181818182</v>
      </c>
      <c r="D95" s="45">
        <v>4</v>
      </c>
      <c r="E95" s="43">
        <v>244140</v>
      </c>
    </row>
    <row r="96" spans="1:5">
      <c r="A96" s="46" t="s">
        <v>106</v>
      </c>
      <c r="B96" s="43">
        <v>83340</v>
      </c>
      <c r="C96" s="44">
        <v>0.18181818181818182</v>
      </c>
      <c r="D96" s="45">
        <v>4</v>
      </c>
      <c r="E96" s="43">
        <v>244140</v>
      </c>
    </row>
    <row r="97" spans="1:5">
      <c r="A97" s="46" t="s">
        <v>135</v>
      </c>
      <c r="B97" s="43">
        <v>83340</v>
      </c>
      <c r="C97" s="44">
        <v>0.18181818181818182</v>
      </c>
      <c r="D97" s="45">
        <v>4</v>
      </c>
      <c r="E97" s="43">
        <v>244140</v>
      </c>
    </row>
    <row r="98" spans="1:5">
      <c r="A98" s="46" t="s">
        <v>79</v>
      </c>
      <c r="B98" s="43">
        <v>83340</v>
      </c>
      <c r="C98" s="44">
        <v>0.18181818181818182</v>
      </c>
      <c r="D98" s="45">
        <v>4</v>
      </c>
      <c r="E98" s="43">
        <v>244140</v>
      </c>
    </row>
    <row r="99" spans="1:5">
      <c r="A99" s="46" t="s">
        <v>191</v>
      </c>
      <c r="B99" s="43">
        <v>20835</v>
      </c>
      <c r="C99" s="44">
        <v>4.5454545454545456E-2</v>
      </c>
      <c r="D99" s="45">
        <v>1</v>
      </c>
      <c r="E99" s="43">
        <v>61035</v>
      </c>
    </row>
    <row r="100" spans="1:5">
      <c r="A100" s="46" t="s">
        <v>200</v>
      </c>
      <c r="B100" s="43">
        <v>20835</v>
      </c>
      <c r="C100" s="44">
        <v>4.5454545454545456E-2</v>
      </c>
      <c r="D100" s="45">
        <v>1</v>
      </c>
      <c r="E100" s="43">
        <v>61035</v>
      </c>
    </row>
    <row r="101" spans="1:5">
      <c r="A101" s="46" t="s">
        <v>95</v>
      </c>
      <c r="B101" s="43">
        <v>41670</v>
      </c>
      <c r="C101" s="44">
        <v>9.0909090909090912E-2</v>
      </c>
      <c r="D101" s="45">
        <v>2</v>
      </c>
      <c r="E101" s="43">
        <v>122070</v>
      </c>
    </row>
    <row r="102" spans="1:5">
      <c r="A102" s="46" t="s">
        <v>126</v>
      </c>
      <c r="B102" s="43">
        <v>41670</v>
      </c>
      <c r="C102" s="44">
        <v>9.0909090909090912E-2</v>
      </c>
      <c r="D102" s="45">
        <v>2</v>
      </c>
      <c r="E102" s="43">
        <v>122070</v>
      </c>
    </row>
    <row r="103" spans="1:5">
      <c r="A103" s="42" t="s">
        <v>26</v>
      </c>
      <c r="B103" s="43">
        <v>426384</v>
      </c>
      <c r="C103" s="44">
        <v>4.429591320584067E-2</v>
      </c>
      <c r="D103" s="45">
        <v>16</v>
      </c>
      <c r="E103" s="43">
        <v>1413584</v>
      </c>
    </row>
    <row r="104" spans="1:5">
      <c r="A104" s="46" t="s">
        <v>104</v>
      </c>
      <c r="B104" s="43">
        <v>26649</v>
      </c>
      <c r="C104" s="44">
        <v>6.25E-2</v>
      </c>
      <c r="D104" s="45">
        <v>1</v>
      </c>
      <c r="E104" s="43">
        <v>88349</v>
      </c>
    </row>
    <row r="105" spans="1:5">
      <c r="A105" s="46" t="s">
        <v>194</v>
      </c>
      <c r="B105" s="43">
        <v>53298</v>
      </c>
      <c r="C105" s="44">
        <v>0.125</v>
      </c>
      <c r="D105" s="45">
        <v>2</v>
      </c>
      <c r="E105" s="43">
        <v>176698</v>
      </c>
    </row>
    <row r="106" spans="1:5">
      <c r="A106" s="46" t="s">
        <v>79</v>
      </c>
      <c r="B106" s="43">
        <v>79947</v>
      </c>
      <c r="C106" s="44">
        <v>0.1875</v>
      </c>
      <c r="D106" s="45">
        <v>3</v>
      </c>
      <c r="E106" s="43">
        <v>265047</v>
      </c>
    </row>
    <row r="107" spans="1:5">
      <c r="A107" s="46" t="s">
        <v>157</v>
      </c>
      <c r="B107" s="43">
        <v>26649</v>
      </c>
      <c r="C107" s="44">
        <v>6.25E-2</v>
      </c>
      <c r="D107" s="45">
        <v>1</v>
      </c>
      <c r="E107" s="43">
        <v>88349</v>
      </c>
    </row>
    <row r="108" spans="1:5">
      <c r="A108" s="46" t="s">
        <v>123</v>
      </c>
      <c r="B108" s="43">
        <v>79947</v>
      </c>
      <c r="C108" s="44">
        <v>0.1875</v>
      </c>
      <c r="D108" s="45">
        <v>3</v>
      </c>
      <c r="E108" s="43">
        <v>265047</v>
      </c>
    </row>
    <row r="109" spans="1:5">
      <c r="A109" s="46" t="s">
        <v>5</v>
      </c>
      <c r="B109" s="43">
        <v>79947</v>
      </c>
      <c r="C109" s="44">
        <v>0.1875</v>
      </c>
      <c r="D109" s="45">
        <v>3</v>
      </c>
      <c r="E109" s="43">
        <v>265047</v>
      </c>
    </row>
    <row r="110" spans="1:5">
      <c r="A110" s="46" t="s">
        <v>140</v>
      </c>
      <c r="B110" s="43">
        <v>53298</v>
      </c>
      <c r="C110" s="44">
        <v>0.125</v>
      </c>
      <c r="D110" s="45">
        <v>2</v>
      </c>
      <c r="E110" s="43">
        <v>176698</v>
      </c>
    </row>
    <row r="111" spans="1:5">
      <c r="A111" s="46" t="s">
        <v>176</v>
      </c>
      <c r="B111" s="43">
        <v>26649</v>
      </c>
      <c r="C111" s="44">
        <v>6.25E-2</v>
      </c>
      <c r="D111" s="45">
        <v>1</v>
      </c>
      <c r="E111" s="43">
        <v>88349</v>
      </c>
    </row>
    <row r="112" spans="1:5">
      <c r="A112" s="42" t="s">
        <v>36</v>
      </c>
      <c r="B112" s="43">
        <v>748530</v>
      </c>
      <c r="C112" s="44">
        <v>7.7762814533303123E-2</v>
      </c>
      <c r="D112" s="45">
        <v>30</v>
      </c>
      <c r="E112" s="43">
        <v>2422530</v>
      </c>
    </row>
    <row r="113" spans="1:5">
      <c r="A113" s="46" t="s">
        <v>115</v>
      </c>
      <c r="B113" s="43">
        <v>24951</v>
      </c>
      <c r="C113" s="44">
        <v>3.3333333333333333E-2</v>
      </c>
      <c r="D113" s="45">
        <v>1</v>
      </c>
      <c r="E113" s="43">
        <v>80751</v>
      </c>
    </row>
    <row r="114" spans="1:5">
      <c r="A114" s="46" t="s">
        <v>103</v>
      </c>
      <c r="B114" s="43">
        <v>124755</v>
      </c>
      <c r="C114" s="44">
        <v>0.16666666666666666</v>
      </c>
      <c r="D114" s="45">
        <v>5</v>
      </c>
      <c r="E114" s="43">
        <v>403755</v>
      </c>
    </row>
    <row r="115" spans="1:5">
      <c r="A115" s="46" t="s">
        <v>97</v>
      </c>
      <c r="B115" s="43">
        <v>49902</v>
      </c>
      <c r="C115" s="44">
        <v>6.6666666666666666E-2</v>
      </c>
      <c r="D115" s="45">
        <v>2</v>
      </c>
      <c r="E115" s="43">
        <v>161502</v>
      </c>
    </row>
    <row r="116" spans="1:5">
      <c r="A116" s="46" t="s">
        <v>148</v>
      </c>
      <c r="B116" s="43">
        <v>24951</v>
      </c>
      <c r="C116" s="44">
        <v>3.3333333333333333E-2</v>
      </c>
      <c r="D116" s="45">
        <v>1</v>
      </c>
      <c r="E116" s="43">
        <v>80751</v>
      </c>
    </row>
    <row r="117" spans="1:5">
      <c r="A117" s="46" t="s">
        <v>185</v>
      </c>
      <c r="B117" s="43">
        <v>24951</v>
      </c>
      <c r="C117" s="44">
        <v>3.3333333333333333E-2</v>
      </c>
      <c r="D117" s="45">
        <v>1</v>
      </c>
      <c r="E117" s="43">
        <v>80751</v>
      </c>
    </row>
    <row r="118" spans="1:5">
      <c r="A118" s="46" t="s">
        <v>81</v>
      </c>
      <c r="B118" s="43">
        <v>99804</v>
      </c>
      <c r="C118" s="44">
        <v>0.13333333333333333</v>
      </c>
      <c r="D118" s="45">
        <v>4</v>
      </c>
      <c r="E118" s="43">
        <v>323004</v>
      </c>
    </row>
    <row r="119" spans="1:5">
      <c r="A119" s="46" t="s">
        <v>93</v>
      </c>
      <c r="B119" s="43">
        <v>24951</v>
      </c>
      <c r="C119" s="44">
        <v>3.3333333333333333E-2</v>
      </c>
      <c r="D119" s="45">
        <v>1</v>
      </c>
      <c r="E119" s="43">
        <v>80751</v>
      </c>
    </row>
    <row r="120" spans="1:5">
      <c r="A120" s="46" t="s">
        <v>123</v>
      </c>
      <c r="B120" s="43">
        <v>49902</v>
      </c>
      <c r="C120" s="44">
        <v>6.6666666666666666E-2</v>
      </c>
      <c r="D120" s="45">
        <v>2</v>
      </c>
      <c r="E120" s="43">
        <v>161502</v>
      </c>
    </row>
    <row r="121" spans="1:5">
      <c r="A121" s="46" t="s">
        <v>68</v>
      </c>
      <c r="B121" s="43">
        <v>74853</v>
      </c>
      <c r="C121" s="44">
        <v>0.1</v>
      </c>
      <c r="D121" s="45">
        <v>3</v>
      </c>
      <c r="E121" s="43">
        <v>242253</v>
      </c>
    </row>
    <row r="122" spans="1:5">
      <c r="A122" s="46" t="s">
        <v>5</v>
      </c>
      <c r="B122" s="43">
        <v>99804</v>
      </c>
      <c r="C122" s="44">
        <v>0.13333333333333333</v>
      </c>
      <c r="D122" s="45">
        <v>4</v>
      </c>
      <c r="E122" s="43">
        <v>323004</v>
      </c>
    </row>
    <row r="123" spans="1:5">
      <c r="A123" s="46" t="s">
        <v>86</v>
      </c>
      <c r="B123" s="43">
        <v>24951</v>
      </c>
      <c r="C123" s="44">
        <v>3.3333333333333333E-2</v>
      </c>
      <c r="D123" s="45">
        <v>1</v>
      </c>
      <c r="E123" s="43">
        <v>80751</v>
      </c>
    </row>
    <row r="124" spans="1:5">
      <c r="A124" s="46" t="s">
        <v>77</v>
      </c>
      <c r="B124" s="43">
        <v>99804</v>
      </c>
      <c r="C124" s="44">
        <v>0.13333333333333333</v>
      </c>
      <c r="D124" s="45">
        <v>4</v>
      </c>
      <c r="E124" s="43">
        <v>323004</v>
      </c>
    </row>
    <row r="125" spans="1:5">
      <c r="A125" s="46" t="s">
        <v>88</v>
      </c>
      <c r="B125" s="43">
        <v>24951</v>
      </c>
      <c r="C125" s="44">
        <v>3.3333333333333333E-2</v>
      </c>
      <c r="D125" s="45">
        <v>1</v>
      </c>
      <c r="E125" s="43">
        <v>80751</v>
      </c>
    </row>
    <row r="126" spans="1:5">
      <c r="A126" s="42" t="s">
        <v>32</v>
      </c>
      <c r="B126" s="43">
        <v>578487</v>
      </c>
      <c r="C126" s="44">
        <v>6.0097494143089687E-2</v>
      </c>
      <c r="D126" s="45">
        <v>21</v>
      </c>
      <c r="E126" s="43">
        <v>1979187</v>
      </c>
    </row>
    <row r="127" spans="1:5">
      <c r="A127" s="46" t="s">
        <v>137</v>
      </c>
      <c r="B127" s="43">
        <v>110188</v>
      </c>
      <c r="C127" s="44">
        <v>0.19047619047619047</v>
      </c>
      <c r="D127" s="45">
        <v>4</v>
      </c>
      <c r="E127" s="43">
        <v>376988</v>
      </c>
    </row>
    <row r="128" spans="1:5">
      <c r="A128" s="46" t="s">
        <v>136</v>
      </c>
      <c r="B128" s="43">
        <v>82641</v>
      </c>
      <c r="C128" s="44">
        <v>0.14285714285714285</v>
      </c>
      <c r="D128" s="45">
        <v>3</v>
      </c>
      <c r="E128" s="43">
        <v>282741</v>
      </c>
    </row>
    <row r="129" spans="1:5">
      <c r="A129" s="46" t="s">
        <v>98</v>
      </c>
      <c r="B129" s="43">
        <v>55094</v>
      </c>
      <c r="C129" s="44">
        <v>9.5238095238095233E-2</v>
      </c>
      <c r="D129" s="45">
        <v>2</v>
      </c>
      <c r="E129" s="43">
        <v>188494</v>
      </c>
    </row>
    <row r="130" spans="1:5">
      <c r="A130" s="46" t="s">
        <v>197</v>
      </c>
      <c r="B130" s="43">
        <v>82641</v>
      </c>
      <c r="C130" s="44">
        <v>0.14285714285714285</v>
      </c>
      <c r="D130" s="45">
        <v>3</v>
      </c>
      <c r="E130" s="43">
        <v>282741</v>
      </c>
    </row>
    <row r="131" spans="1:5">
      <c r="A131" s="46" t="s">
        <v>118</v>
      </c>
      <c r="B131" s="43">
        <v>82641</v>
      </c>
      <c r="C131" s="44">
        <v>0.14285714285714285</v>
      </c>
      <c r="D131" s="45">
        <v>3</v>
      </c>
      <c r="E131" s="43">
        <v>282741</v>
      </c>
    </row>
    <row r="132" spans="1:5">
      <c r="A132" s="46" t="s">
        <v>99</v>
      </c>
      <c r="B132" s="43">
        <v>82641</v>
      </c>
      <c r="C132" s="44">
        <v>0.14285714285714285</v>
      </c>
      <c r="D132" s="45">
        <v>3</v>
      </c>
      <c r="E132" s="43">
        <v>282741</v>
      </c>
    </row>
    <row r="133" spans="1:5">
      <c r="A133" s="46" t="s">
        <v>74</v>
      </c>
      <c r="B133" s="43">
        <v>27547</v>
      </c>
      <c r="C133" s="44">
        <v>4.7619047619047616E-2</v>
      </c>
      <c r="D133" s="45">
        <v>1</v>
      </c>
      <c r="E133" s="43">
        <v>94247</v>
      </c>
    </row>
    <row r="134" spans="1:5">
      <c r="A134" s="46" t="s">
        <v>171</v>
      </c>
      <c r="B134" s="43">
        <v>27547</v>
      </c>
      <c r="C134" s="44">
        <v>4.7619047619047616E-2</v>
      </c>
      <c r="D134" s="45">
        <v>1</v>
      </c>
      <c r="E134" s="43">
        <v>94247</v>
      </c>
    </row>
    <row r="135" spans="1:5">
      <c r="A135" s="46" t="s">
        <v>120</v>
      </c>
      <c r="B135" s="43">
        <v>27547</v>
      </c>
      <c r="C135" s="44">
        <v>4.7619047619047616E-2</v>
      </c>
      <c r="D135" s="45">
        <v>1</v>
      </c>
      <c r="E135" s="43">
        <v>94247</v>
      </c>
    </row>
    <row r="136" spans="1:5">
      <c r="A136" s="42" t="s">
        <v>29</v>
      </c>
      <c r="B136" s="43">
        <v>486220</v>
      </c>
      <c r="C136" s="44">
        <v>5.0512117994445972E-2</v>
      </c>
      <c r="D136" s="45">
        <v>23</v>
      </c>
      <c r="E136" s="43">
        <v>1433820</v>
      </c>
    </row>
    <row r="137" spans="1:5">
      <c r="A137" s="46" t="s">
        <v>202</v>
      </c>
      <c r="B137" s="43">
        <v>21140</v>
      </c>
      <c r="C137" s="44">
        <v>4.3478260869565216E-2</v>
      </c>
      <c r="D137" s="45">
        <v>1</v>
      </c>
      <c r="E137" s="43">
        <v>62340</v>
      </c>
    </row>
    <row r="138" spans="1:5">
      <c r="A138" s="46" t="s">
        <v>112</v>
      </c>
      <c r="B138" s="43">
        <v>105700</v>
      </c>
      <c r="C138" s="44">
        <v>0.21739130434782608</v>
      </c>
      <c r="D138" s="45">
        <v>5</v>
      </c>
      <c r="E138" s="43">
        <v>311700</v>
      </c>
    </row>
    <row r="139" spans="1:5">
      <c r="A139" s="46" t="s">
        <v>67</v>
      </c>
      <c r="B139" s="43">
        <v>42280</v>
      </c>
      <c r="C139" s="44">
        <v>8.6956521739130432E-2</v>
      </c>
      <c r="D139" s="45">
        <v>2</v>
      </c>
      <c r="E139" s="43">
        <v>124680</v>
      </c>
    </row>
    <row r="140" spans="1:5">
      <c r="A140" s="46" t="s">
        <v>181</v>
      </c>
      <c r="B140" s="43">
        <v>84560</v>
      </c>
      <c r="C140" s="44">
        <v>0.17391304347826086</v>
      </c>
      <c r="D140" s="45">
        <v>4</v>
      </c>
      <c r="E140" s="43">
        <v>249360</v>
      </c>
    </row>
    <row r="141" spans="1:5">
      <c r="A141" s="46" t="s">
        <v>145</v>
      </c>
      <c r="B141" s="43">
        <v>42280</v>
      </c>
      <c r="C141" s="44">
        <v>8.6956521739130432E-2</v>
      </c>
      <c r="D141" s="45">
        <v>2</v>
      </c>
      <c r="E141" s="43">
        <v>124680</v>
      </c>
    </row>
    <row r="142" spans="1:5">
      <c r="A142" s="46" t="s">
        <v>131</v>
      </c>
      <c r="B142" s="43">
        <v>42280</v>
      </c>
      <c r="C142" s="44">
        <v>8.6956521739130432E-2</v>
      </c>
      <c r="D142" s="45">
        <v>2</v>
      </c>
      <c r="E142" s="43">
        <v>124680</v>
      </c>
    </row>
    <row r="143" spans="1:5">
      <c r="A143" s="46" t="s">
        <v>87</v>
      </c>
      <c r="B143" s="43">
        <v>63420</v>
      </c>
      <c r="C143" s="44">
        <v>0.13043478260869565</v>
      </c>
      <c r="D143" s="45">
        <v>3</v>
      </c>
      <c r="E143" s="43">
        <v>187020</v>
      </c>
    </row>
    <row r="144" spans="1:5">
      <c r="A144" s="46" t="s">
        <v>163</v>
      </c>
      <c r="B144" s="43">
        <v>84560</v>
      </c>
      <c r="C144" s="44">
        <v>0.17391304347826086</v>
      </c>
      <c r="D144" s="45">
        <v>4</v>
      </c>
      <c r="E144" s="43">
        <v>249360</v>
      </c>
    </row>
    <row r="145" spans="1:5">
      <c r="A145" s="42" t="s">
        <v>17</v>
      </c>
      <c r="B145" s="43">
        <v>288904</v>
      </c>
      <c r="C145" s="44">
        <v>3.0013477308764386E-2</v>
      </c>
      <c r="D145" s="45">
        <v>14</v>
      </c>
      <c r="E145" s="43">
        <v>889504</v>
      </c>
    </row>
    <row r="146" spans="1:5">
      <c r="A146" s="46" t="s">
        <v>151</v>
      </c>
      <c r="B146" s="43">
        <v>61908</v>
      </c>
      <c r="C146" s="44">
        <v>0.21428571428571427</v>
      </c>
      <c r="D146" s="45">
        <v>3</v>
      </c>
      <c r="E146" s="43">
        <v>190608</v>
      </c>
    </row>
    <row r="147" spans="1:5">
      <c r="A147" s="46" t="s">
        <v>119</v>
      </c>
      <c r="B147" s="43">
        <v>82544</v>
      </c>
      <c r="C147" s="44">
        <v>0.2857142857142857</v>
      </c>
      <c r="D147" s="45">
        <v>4</v>
      </c>
      <c r="E147" s="43">
        <v>254144</v>
      </c>
    </row>
    <row r="148" spans="1:5">
      <c r="A148" s="46" t="s">
        <v>92</v>
      </c>
      <c r="B148" s="43">
        <v>20636</v>
      </c>
      <c r="C148" s="44">
        <v>7.1428571428571425E-2</v>
      </c>
      <c r="D148" s="45">
        <v>1</v>
      </c>
      <c r="E148" s="43">
        <v>63536</v>
      </c>
    </row>
    <row r="149" spans="1:5">
      <c r="A149" s="46" t="s">
        <v>135</v>
      </c>
      <c r="B149" s="43">
        <v>20636</v>
      </c>
      <c r="C149" s="44">
        <v>7.1428571428571425E-2</v>
      </c>
      <c r="D149" s="45">
        <v>1</v>
      </c>
      <c r="E149" s="43">
        <v>63536</v>
      </c>
    </row>
    <row r="150" spans="1:5">
      <c r="A150" s="46" t="s">
        <v>169</v>
      </c>
      <c r="B150" s="43">
        <v>20636</v>
      </c>
      <c r="C150" s="44">
        <v>7.1428571428571425E-2</v>
      </c>
      <c r="D150" s="45">
        <v>1</v>
      </c>
      <c r="E150" s="43">
        <v>63536</v>
      </c>
    </row>
    <row r="151" spans="1:5">
      <c r="A151" s="46" t="s">
        <v>64</v>
      </c>
      <c r="B151" s="43">
        <v>61908</v>
      </c>
      <c r="C151" s="44">
        <v>0.21428571428571427</v>
      </c>
      <c r="D151" s="45">
        <v>3</v>
      </c>
      <c r="E151" s="43">
        <v>190608</v>
      </c>
    </row>
    <row r="152" spans="1:5">
      <c r="A152" s="46" t="s">
        <v>2</v>
      </c>
      <c r="B152" s="43">
        <v>20636</v>
      </c>
      <c r="C152" s="44">
        <v>7.1428571428571425E-2</v>
      </c>
      <c r="D152" s="45">
        <v>1</v>
      </c>
      <c r="E152" s="43">
        <v>63536</v>
      </c>
    </row>
    <row r="153" spans="1:5">
      <c r="A153" s="42" t="s">
        <v>25</v>
      </c>
      <c r="B153" s="43">
        <v>409905</v>
      </c>
      <c r="C153" s="44">
        <v>4.2583953203309974E-2</v>
      </c>
      <c r="D153" s="45">
        <v>15</v>
      </c>
      <c r="E153" s="43">
        <v>1321905</v>
      </c>
    </row>
    <row r="154" spans="1:5">
      <c r="A154" s="46" t="s">
        <v>124</v>
      </c>
      <c r="B154" s="43">
        <v>81981</v>
      </c>
      <c r="C154" s="44">
        <v>0.2</v>
      </c>
      <c r="D154" s="45">
        <v>3</v>
      </c>
      <c r="E154" s="43">
        <v>264381</v>
      </c>
    </row>
    <row r="155" spans="1:5">
      <c r="A155" s="46" t="s">
        <v>72</v>
      </c>
      <c r="B155" s="43">
        <v>27327</v>
      </c>
      <c r="C155" s="44">
        <v>6.6666666666666666E-2</v>
      </c>
      <c r="D155" s="45">
        <v>1</v>
      </c>
      <c r="E155" s="43">
        <v>88127</v>
      </c>
    </row>
    <row r="156" spans="1:5">
      <c r="A156" s="46" t="s">
        <v>189</v>
      </c>
      <c r="B156" s="43">
        <v>27327</v>
      </c>
      <c r="C156" s="44">
        <v>6.6666666666666666E-2</v>
      </c>
      <c r="D156" s="45">
        <v>1</v>
      </c>
      <c r="E156" s="43">
        <v>88127</v>
      </c>
    </row>
    <row r="157" spans="1:5">
      <c r="A157" s="46" t="s">
        <v>155</v>
      </c>
      <c r="B157" s="43">
        <v>109308</v>
      </c>
      <c r="C157" s="44">
        <v>0.26666666666666666</v>
      </c>
      <c r="D157" s="45">
        <v>4</v>
      </c>
      <c r="E157" s="43">
        <v>352508</v>
      </c>
    </row>
    <row r="158" spans="1:5">
      <c r="A158" s="46" t="s">
        <v>78</v>
      </c>
      <c r="B158" s="43">
        <v>27327</v>
      </c>
      <c r="C158" s="44">
        <v>6.6666666666666666E-2</v>
      </c>
      <c r="D158" s="45">
        <v>1</v>
      </c>
      <c r="E158" s="43">
        <v>88127</v>
      </c>
    </row>
    <row r="159" spans="1:5">
      <c r="A159" s="46" t="s">
        <v>99</v>
      </c>
      <c r="B159" s="43">
        <v>109308</v>
      </c>
      <c r="C159" s="44">
        <v>0.26666666666666666</v>
      </c>
      <c r="D159" s="45">
        <v>4</v>
      </c>
      <c r="E159" s="43">
        <v>352508</v>
      </c>
    </row>
    <row r="160" spans="1:5">
      <c r="A160" s="46" t="s">
        <v>82</v>
      </c>
      <c r="B160" s="43">
        <v>27327</v>
      </c>
      <c r="C160" s="44">
        <v>6.6666666666666666E-2</v>
      </c>
      <c r="D160" s="45">
        <v>1</v>
      </c>
      <c r="E160" s="43">
        <v>88127</v>
      </c>
    </row>
    <row r="161" spans="1:5">
      <c r="A161" s="42" t="s">
        <v>23</v>
      </c>
      <c r="B161" s="43">
        <v>363136</v>
      </c>
      <c r="C161" s="44">
        <v>3.7725244704107465E-2</v>
      </c>
      <c r="D161" s="45">
        <v>16</v>
      </c>
      <c r="E161" s="43">
        <v>1140736</v>
      </c>
    </row>
    <row r="162" spans="1:5">
      <c r="A162" s="46" t="s">
        <v>108</v>
      </c>
      <c r="B162" s="43">
        <v>68088</v>
      </c>
      <c r="C162" s="44">
        <v>0.1875</v>
      </c>
      <c r="D162" s="45">
        <v>3</v>
      </c>
      <c r="E162" s="43">
        <v>213888</v>
      </c>
    </row>
    <row r="163" spans="1:5">
      <c r="A163" s="46" t="s">
        <v>11</v>
      </c>
      <c r="B163" s="43">
        <v>45392</v>
      </c>
      <c r="C163" s="44">
        <v>0.125</v>
      </c>
      <c r="D163" s="45">
        <v>2</v>
      </c>
      <c r="E163" s="43">
        <v>142592</v>
      </c>
    </row>
    <row r="164" spans="1:5">
      <c r="A164" s="46" t="s">
        <v>63</v>
      </c>
      <c r="B164" s="43">
        <v>45392</v>
      </c>
      <c r="C164" s="44">
        <v>0.125</v>
      </c>
      <c r="D164" s="45">
        <v>2</v>
      </c>
      <c r="E164" s="43">
        <v>142592</v>
      </c>
    </row>
    <row r="165" spans="1:5">
      <c r="A165" s="46" t="s">
        <v>84</v>
      </c>
      <c r="B165" s="43">
        <v>68088</v>
      </c>
      <c r="C165" s="44">
        <v>0.1875</v>
      </c>
      <c r="D165" s="45">
        <v>3</v>
      </c>
      <c r="E165" s="43">
        <v>213888</v>
      </c>
    </row>
    <row r="166" spans="1:5">
      <c r="A166" s="46" t="s">
        <v>201</v>
      </c>
      <c r="B166" s="43">
        <v>22696</v>
      </c>
      <c r="C166" s="44">
        <v>6.25E-2</v>
      </c>
      <c r="D166" s="45">
        <v>1</v>
      </c>
      <c r="E166" s="43">
        <v>71296</v>
      </c>
    </row>
    <row r="167" spans="1:5">
      <c r="A167" s="46" t="s">
        <v>160</v>
      </c>
      <c r="B167" s="43">
        <v>22696</v>
      </c>
      <c r="C167" s="44">
        <v>6.25E-2</v>
      </c>
      <c r="D167" s="45">
        <v>1</v>
      </c>
      <c r="E167" s="43">
        <v>71296</v>
      </c>
    </row>
    <row r="168" spans="1:5">
      <c r="A168" s="46" t="s">
        <v>179</v>
      </c>
      <c r="B168" s="43">
        <v>22696</v>
      </c>
      <c r="C168" s="44">
        <v>6.25E-2</v>
      </c>
      <c r="D168" s="45">
        <v>1</v>
      </c>
      <c r="E168" s="43">
        <v>71296</v>
      </c>
    </row>
    <row r="169" spans="1:5">
      <c r="A169" s="46" t="s">
        <v>129</v>
      </c>
      <c r="B169" s="43">
        <v>68088</v>
      </c>
      <c r="C169" s="44">
        <v>0.1875</v>
      </c>
      <c r="D169" s="45">
        <v>3</v>
      </c>
      <c r="E169" s="43">
        <v>213888</v>
      </c>
    </row>
    <row r="170" spans="1:5">
      <c r="A170" s="42" t="s">
        <v>30</v>
      </c>
      <c r="B170" s="43">
        <v>523332</v>
      </c>
      <c r="C170" s="44">
        <v>5.4367586142629674E-2</v>
      </c>
      <c r="D170" s="45">
        <v>18</v>
      </c>
      <c r="E170" s="43">
        <v>1556532</v>
      </c>
    </row>
    <row r="171" spans="1:5">
      <c r="A171" s="46" t="s">
        <v>111</v>
      </c>
      <c r="B171" s="43">
        <v>29074</v>
      </c>
      <c r="C171" s="44">
        <v>5.5555555555555552E-2</v>
      </c>
      <c r="D171" s="45">
        <v>1</v>
      </c>
      <c r="E171" s="43">
        <v>86474</v>
      </c>
    </row>
    <row r="172" spans="1:5">
      <c r="A172" s="46" t="s">
        <v>108</v>
      </c>
      <c r="B172" s="43">
        <v>87222</v>
      </c>
      <c r="C172" s="44">
        <v>0.16666666666666666</v>
      </c>
      <c r="D172" s="45">
        <v>3</v>
      </c>
      <c r="E172" s="43">
        <v>259422</v>
      </c>
    </row>
    <row r="173" spans="1:5">
      <c r="A173" s="46" t="s">
        <v>66</v>
      </c>
      <c r="B173" s="43">
        <v>58148</v>
      </c>
      <c r="C173" s="44">
        <v>0.1111111111111111</v>
      </c>
      <c r="D173" s="45">
        <v>2</v>
      </c>
      <c r="E173" s="43">
        <v>172948</v>
      </c>
    </row>
    <row r="174" spans="1:5">
      <c r="A174" s="46" t="s">
        <v>161</v>
      </c>
      <c r="B174" s="43">
        <v>29074</v>
      </c>
      <c r="C174" s="44">
        <v>5.5555555555555552E-2</v>
      </c>
      <c r="D174" s="45">
        <v>1</v>
      </c>
      <c r="E174" s="43">
        <v>86474</v>
      </c>
    </row>
    <row r="175" spans="1:5">
      <c r="A175" s="46" t="s">
        <v>146</v>
      </c>
      <c r="B175" s="43">
        <v>87222</v>
      </c>
      <c r="C175" s="44">
        <v>0.16666666666666666</v>
      </c>
      <c r="D175" s="45">
        <v>3</v>
      </c>
      <c r="E175" s="43">
        <v>259422</v>
      </c>
    </row>
    <row r="176" spans="1:5">
      <c r="A176" s="46" t="s">
        <v>91</v>
      </c>
      <c r="B176" s="43">
        <v>116296</v>
      </c>
      <c r="C176" s="44">
        <v>0.22222222222222221</v>
      </c>
      <c r="D176" s="45">
        <v>4</v>
      </c>
      <c r="E176" s="43">
        <v>345896</v>
      </c>
    </row>
    <row r="177" spans="1:5">
      <c r="A177" s="46" t="s">
        <v>182</v>
      </c>
      <c r="B177" s="43">
        <v>87222</v>
      </c>
      <c r="C177" s="44">
        <v>0.16666666666666666</v>
      </c>
      <c r="D177" s="45">
        <v>3</v>
      </c>
      <c r="E177" s="43">
        <v>259422</v>
      </c>
    </row>
    <row r="178" spans="1:5">
      <c r="A178" s="46" t="s">
        <v>88</v>
      </c>
      <c r="B178" s="43">
        <v>29074</v>
      </c>
      <c r="C178" s="44">
        <v>5.5555555555555552E-2</v>
      </c>
      <c r="D178" s="45">
        <v>1</v>
      </c>
      <c r="E178" s="43">
        <v>86474</v>
      </c>
    </row>
    <row r="179" spans="1:5">
      <c r="A179" s="42" t="s">
        <v>14</v>
      </c>
      <c r="B179" s="43">
        <v>212388</v>
      </c>
      <c r="C179" s="44">
        <v>2.2064431155864407E-2</v>
      </c>
      <c r="D179" s="45">
        <v>11</v>
      </c>
      <c r="E179" s="43">
        <v>645788</v>
      </c>
    </row>
    <row r="180" spans="1:5">
      <c r="A180" s="46" t="s">
        <v>172</v>
      </c>
      <c r="B180" s="43">
        <v>38616</v>
      </c>
      <c r="C180" s="44">
        <v>0.18181818181818182</v>
      </c>
      <c r="D180" s="45">
        <v>2</v>
      </c>
      <c r="E180" s="43">
        <v>117416</v>
      </c>
    </row>
    <row r="181" spans="1:5">
      <c r="A181" s="46" t="s">
        <v>117</v>
      </c>
      <c r="B181" s="43">
        <v>19308</v>
      </c>
      <c r="C181" s="44">
        <v>9.0909090909090912E-2</v>
      </c>
      <c r="D181" s="45">
        <v>1</v>
      </c>
      <c r="E181" s="43">
        <v>58708</v>
      </c>
    </row>
    <row r="182" spans="1:5">
      <c r="A182" s="46" t="s">
        <v>154</v>
      </c>
      <c r="B182" s="43">
        <v>19308</v>
      </c>
      <c r="C182" s="44">
        <v>9.0909090909090912E-2</v>
      </c>
      <c r="D182" s="45">
        <v>1</v>
      </c>
      <c r="E182" s="43">
        <v>58708</v>
      </c>
    </row>
    <row r="183" spans="1:5">
      <c r="A183" s="46" t="s">
        <v>70</v>
      </c>
      <c r="B183" s="43">
        <v>19308</v>
      </c>
      <c r="C183" s="44">
        <v>9.0909090909090912E-2</v>
      </c>
      <c r="D183" s="45">
        <v>1</v>
      </c>
      <c r="E183" s="43">
        <v>58708</v>
      </c>
    </row>
    <row r="184" spans="1:5">
      <c r="A184" s="46" t="s">
        <v>138</v>
      </c>
      <c r="B184" s="43">
        <v>57924</v>
      </c>
      <c r="C184" s="44">
        <v>0.27272727272727271</v>
      </c>
      <c r="D184" s="45">
        <v>3</v>
      </c>
      <c r="E184" s="43">
        <v>176124</v>
      </c>
    </row>
    <row r="185" spans="1:5">
      <c r="A185" s="46" t="s">
        <v>102</v>
      </c>
      <c r="B185" s="43">
        <v>19308</v>
      </c>
      <c r="C185" s="44">
        <v>9.0909090909090912E-2</v>
      </c>
      <c r="D185" s="45">
        <v>1</v>
      </c>
      <c r="E185" s="43">
        <v>58708</v>
      </c>
    </row>
    <row r="186" spans="1:5">
      <c r="A186" s="46" t="s">
        <v>188</v>
      </c>
      <c r="B186" s="43">
        <v>38616</v>
      </c>
      <c r="C186" s="44">
        <v>0.18181818181818182</v>
      </c>
      <c r="D186" s="45">
        <v>2</v>
      </c>
      <c r="E186" s="43">
        <v>117416</v>
      </c>
    </row>
    <row r="187" spans="1:5">
      <c r="A187" s="42" t="s">
        <v>28</v>
      </c>
      <c r="B187" s="43">
        <v>456382</v>
      </c>
      <c r="C187" s="44">
        <v>4.7412326589900133E-2</v>
      </c>
      <c r="D187" s="45">
        <v>17</v>
      </c>
      <c r="E187" s="43">
        <v>1512082</v>
      </c>
    </row>
    <row r="188" spans="1:5">
      <c r="A188" s="46" t="s">
        <v>170</v>
      </c>
      <c r="B188" s="43">
        <v>53692</v>
      </c>
      <c r="C188" s="44">
        <v>0.11764705882352941</v>
      </c>
      <c r="D188" s="45">
        <v>2</v>
      </c>
      <c r="E188" s="43">
        <v>177892</v>
      </c>
    </row>
    <row r="189" spans="1:5">
      <c r="A189" s="46" t="s">
        <v>136</v>
      </c>
      <c r="B189" s="43">
        <v>53692</v>
      </c>
      <c r="C189" s="44">
        <v>0.11764705882352941</v>
      </c>
      <c r="D189" s="45">
        <v>2</v>
      </c>
      <c r="E189" s="43">
        <v>177892</v>
      </c>
    </row>
    <row r="190" spans="1:5">
      <c r="A190" s="46" t="s">
        <v>73</v>
      </c>
      <c r="B190" s="43">
        <v>80538</v>
      </c>
      <c r="C190" s="44">
        <v>0.17647058823529413</v>
      </c>
      <c r="D190" s="45">
        <v>3</v>
      </c>
      <c r="E190" s="43">
        <v>266838</v>
      </c>
    </row>
    <row r="191" spans="1:5">
      <c r="A191" s="46" t="s">
        <v>97</v>
      </c>
      <c r="B191" s="43">
        <v>80538</v>
      </c>
      <c r="C191" s="44">
        <v>0.17647058823529413</v>
      </c>
      <c r="D191" s="45">
        <v>3</v>
      </c>
      <c r="E191" s="43">
        <v>266838</v>
      </c>
    </row>
    <row r="192" spans="1:5">
      <c r="A192" s="46" t="s">
        <v>152</v>
      </c>
      <c r="B192" s="43">
        <v>26846</v>
      </c>
      <c r="C192" s="44">
        <v>5.8823529411764705E-2</v>
      </c>
      <c r="D192" s="45">
        <v>1</v>
      </c>
      <c r="E192" s="43">
        <v>88946</v>
      </c>
    </row>
    <row r="193" spans="1:5">
      <c r="A193" s="46" t="s">
        <v>121</v>
      </c>
      <c r="B193" s="43">
        <v>80538</v>
      </c>
      <c r="C193" s="44">
        <v>0.17647058823529413</v>
      </c>
      <c r="D193" s="45">
        <v>3</v>
      </c>
      <c r="E193" s="43">
        <v>266838</v>
      </c>
    </row>
    <row r="194" spans="1:5">
      <c r="A194" s="46" t="s">
        <v>187</v>
      </c>
      <c r="B194" s="43">
        <v>80538</v>
      </c>
      <c r="C194" s="44">
        <v>0.17647058823529413</v>
      </c>
      <c r="D194" s="45">
        <v>3</v>
      </c>
      <c r="E194" s="43">
        <v>266838</v>
      </c>
    </row>
    <row r="195" spans="1:5">
      <c r="A195" s="42" t="s">
        <v>33</v>
      </c>
      <c r="B195" s="43">
        <v>524024</v>
      </c>
      <c r="C195" s="44">
        <v>5.4439476204026074E-2</v>
      </c>
      <c r="D195" s="45">
        <v>31</v>
      </c>
      <c r="E195" s="43">
        <v>1627624</v>
      </c>
    </row>
    <row r="196" spans="1:5">
      <c r="A196" s="46" t="s">
        <v>119</v>
      </c>
      <c r="B196" s="43">
        <v>16904</v>
      </c>
      <c r="C196" s="44">
        <v>3.2258064516129031E-2</v>
      </c>
      <c r="D196" s="45">
        <v>1</v>
      </c>
      <c r="E196" s="43">
        <v>52504</v>
      </c>
    </row>
    <row r="197" spans="1:5">
      <c r="A197" s="46" t="s">
        <v>128</v>
      </c>
      <c r="B197" s="43">
        <v>67616</v>
      </c>
      <c r="C197" s="44">
        <v>0.12903225806451613</v>
      </c>
      <c r="D197" s="45">
        <v>4</v>
      </c>
      <c r="E197" s="43">
        <v>210016</v>
      </c>
    </row>
    <row r="198" spans="1:5">
      <c r="A198" s="46" t="s">
        <v>178</v>
      </c>
      <c r="B198" s="43">
        <v>16904</v>
      </c>
      <c r="C198" s="44">
        <v>3.2258064516129031E-2</v>
      </c>
      <c r="D198" s="45">
        <v>1</v>
      </c>
      <c r="E198" s="43">
        <v>52504</v>
      </c>
    </row>
    <row r="199" spans="1:5">
      <c r="A199" s="46" t="s">
        <v>89</v>
      </c>
      <c r="B199" s="43">
        <v>67616</v>
      </c>
      <c r="C199" s="44">
        <v>0.12903225806451613</v>
      </c>
      <c r="D199" s="45">
        <v>4</v>
      </c>
      <c r="E199" s="43">
        <v>210016</v>
      </c>
    </row>
    <row r="200" spans="1:5">
      <c r="A200" s="46" t="s">
        <v>146</v>
      </c>
      <c r="B200" s="43">
        <v>16904</v>
      </c>
      <c r="C200" s="44">
        <v>3.2258064516129031E-2</v>
      </c>
      <c r="D200" s="45">
        <v>1</v>
      </c>
      <c r="E200" s="43">
        <v>52504</v>
      </c>
    </row>
    <row r="201" spans="1:5">
      <c r="A201" s="46" t="s">
        <v>81</v>
      </c>
      <c r="B201" s="43">
        <v>16904</v>
      </c>
      <c r="C201" s="44">
        <v>3.2258064516129031E-2</v>
      </c>
      <c r="D201" s="45">
        <v>1</v>
      </c>
      <c r="E201" s="43">
        <v>52504</v>
      </c>
    </row>
    <row r="202" spans="1:5">
      <c r="A202" s="46" t="s">
        <v>113</v>
      </c>
      <c r="B202" s="43">
        <v>67616</v>
      </c>
      <c r="C202" s="44">
        <v>0.12903225806451613</v>
      </c>
      <c r="D202" s="45">
        <v>4</v>
      </c>
      <c r="E202" s="43">
        <v>210016</v>
      </c>
    </row>
    <row r="203" spans="1:5">
      <c r="A203" s="46" t="s">
        <v>105</v>
      </c>
      <c r="B203" s="43">
        <v>33808</v>
      </c>
      <c r="C203" s="44">
        <v>6.4516129032258063E-2</v>
      </c>
      <c r="D203" s="45">
        <v>2</v>
      </c>
      <c r="E203" s="43">
        <v>105008</v>
      </c>
    </row>
    <row r="204" spans="1:5">
      <c r="A204" s="46" t="s">
        <v>69</v>
      </c>
      <c r="B204" s="43">
        <v>16904</v>
      </c>
      <c r="C204" s="44">
        <v>3.2258064516129031E-2</v>
      </c>
      <c r="D204" s="45">
        <v>1</v>
      </c>
      <c r="E204" s="43">
        <v>52504</v>
      </c>
    </row>
    <row r="205" spans="1:5">
      <c r="A205" s="46" t="s">
        <v>159</v>
      </c>
      <c r="B205" s="43">
        <v>16904</v>
      </c>
      <c r="C205" s="44">
        <v>3.2258064516129031E-2</v>
      </c>
      <c r="D205" s="45">
        <v>1</v>
      </c>
      <c r="E205" s="43">
        <v>52504</v>
      </c>
    </row>
    <row r="206" spans="1:5">
      <c r="A206" s="46" t="s">
        <v>165</v>
      </c>
      <c r="B206" s="43">
        <v>16904</v>
      </c>
      <c r="C206" s="44">
        <v>3.2258064516129031E-2</v>
      </c>
      <c r="D206" s="45">
        <v>1</v>
      </c>
      <c r="E206" s="43">
        <v>52504</v>
      </c>
    </row>
    <row r="207" spans="1:5">
      <c r="A207" s="46" t="s">
        <v>90</v>
      </c>
      <c r="B207" s="43">
        <v>67616</v>
      </c>
      <c r="C207" s="44">
        <v>0.12903225806451613</v>
      </c>
      <c r="D207" s="45">
        <v>4</v>
      </c>
      <c r="E207" s="43">
        <v>210016</v>
      </c>
    </row>
    <row r="208" spans="1:5">
      <c r="A208" s="46" t="s">
        <v>74</v>
      </c>
      <c r="B208" s="43">
        <v>67616</v>
      </c>
      <c r="C208" s="44">
        <v>0.12903225806451613</v>
      </c>
      <c r="D208" s="45">
        <v>4</v>
      </c>
      <c r="E208" s="43">
        <v>210016</v>
      </c>
    </row>
    <row r="209" spans="1:5">
      <c r="A209" s="46" t="s">
        <v>142</v>
      </c>
      <c r="B209" s="43">
        <v>16904</v>
      </c>
      <c r="C209" s="44">
        <v>3.2258064516129031E-2</v>
      </c>
      <c r="D209" s="45">
        <v>1</v>
      </c>
      <c r="E209" s="43">
        <v>52504</v>
      </c>
    </row>
    <row r="210" spans="1:5">
      <c r="A210" s="46" t="s">
        <v>192</v>
      </c>
      <c r="B210" s="43">
        <v>16904</v>
      </c>
      <c r="C210" s="44">
        <v>3.2258064516129031E-2</v>
      </c>
      <c r="D210" s="45">
        <v>1</v>
      </c>
      <c r="E210" s="43">
        <v>52504</v>
      </c>
    </row>
    <row r="211" spans="1:5">
      <c r="A211" s="42" t="s">
        <v>61</v>
      </c>
      <c r="B211" s="43">
        <v>9625809</v>
      </c>
      <c r="C211" s="44">
        <v>1</v>
      </c>
      <c r="D211" s="45">
        <v>405</v>
      </c>
      <c r="E211" s="43">
        <v>31047609</v>
      </c>
    </row>
  </sheetData>
  <conditionalFormatting pivot="1" sqref="E5:E11">
    <cfRule type="dataBar" priority="11">
      <dataBar>
        <cfvo type="min"/>
        <cfvo type="max"/>
        <color rgb="FF638EC6"/>
      </dataBar>
      <extLst>
        <ext xmlns:x14="http://schemas.microsoft.com/office/spreadsheetml/2009/9/main" uri="{B025F937-C7B1-47D3-B67F-A62EFF666E3E}">
          <x14:id>{F454D7B2-C609-4104-A738-41BC76EFF6E8}</x14:id>
        </ext>
      </extLst>
    </cfRule>
  </conditionalFormatting>
  <conditionalFormatting pivot="1" sqref="E13:E19">
    <cfRule type="dataBar" priority="10">
      <dataBar>
        <cfvo type="min"/>
        <cfvo type="max"/>
        <color rgb="FF638EC6"/>
      </dataBar>
      <extLst>
        <ext xmlns:x14="http://schemas.microsoft.com/office/spreadsheetml/2009/9/main" uri="{B025F937-C7B1-47D3-B67F-A62EFF666E3E}">
          <x14:id>{5A487D33-82B1-441E-8C26-38C925464A67}</x14:id>
        </ext>
      </extLst>
    </cfRule>
  </conditionalFormatting>
  <conditionalFormatting pivot="1" sqref="E21:E35">
    <cfRule type="dataBar" priority="9">
      <dataBar>
        <cfvo type="min"/>
        <cfvo type="max"/>
        <color rgb="FF63C384"/>
      </dataBar>
      <extLst>
        <ext xmlns:x14="http://schemas.microsoft.com/office/spreadsheetml/2009/9/main" uri="{B025F937-C7B1-47D3-B67F-A62EFF666E3E}">
          <x14:id>{EBDDB9BA-FDC4-4EDB-8F0E-4DC0F0E37656}</x14:id>
        </ext>
      </extLst>
    </cfRule>
  </conditionalFormatting>
  <conditionalFormatting pivot="1" sqref="E21:E35 E37:E43 E45:E52">
    <cfRule type="dataBar" priority="8">
      <dataBar>
        <cfvo type="min"/>
        <cfvo type="max"/>
        <color rgb="FF63C384"/>
      </dataBar>
      <extLst>
        <ext xmlns:x14="http://schemas.microsoft.com/office/spreadsheetml/2009/9/main" uri="{B025F937-C7B1-47D3-B67F-A62EFF666E3E}">
          <x14:id>{F1C64068-ACD6-42AA-A5E3-62AFCCDC6905}</x14:id>
        </ext>
      </extLst>
    </cfRule>
  </conditionalFormatting>
  <conditionalFormatting pivot="1" sqref="E21:E35 E37:E43 E45:E52 E196:E210 E188:E194 E180:E186 E171:E178">
    <cfRule type="dataBar" priority="7">
      <dataBar>
        <cfvo type="min"/>
        <cfvo type="max"/>
        <color rgb="FFFFB628"/>
      </dataBar>
      <extLst>
        <ext xmlns:x14="http://schemas.microsoft.com/office/spreadsheetml/2009/9/main" uri="{B025F937-C7B1-47D3-B67F-A62EFF666E3E}">
          <x14:id>{37FB9668-9234-4532-A037-A95CC7949AB9}</x14:id>
        </ext>
      </extLst>
    </cfRule>
  </conditionalFormatting>
  <conditionalFormatting pivot="1" sqref="E162:E169 E154:E160 E146:E152">
    <cfRule type="dataBar" priority="6">
      <dataBar>
        <cfvo type="min"/>
        <cfvo type="max"/>
        <color rgb="FFFFB628"/>
      </dataBar>
      <extLst>
        <ext xmlns:x14="http://schemas.microsoft.com/office/spreadsheetml/2009/9/main" uri="{B025F937-C7B1-47D3-B67F-A62EFF666E3E}">
          <x14:id>{201F1C47-94B3-41AD-AC7F-60810FA3074E}</x14:id>
        </ext>
      </extLst>
    </cfRule>
  </conditionalFormatting>
  <conditionalFormatting pivot="1" sqref="E137:E144 E127:E135 E113:E125 E104:E111">
    <cfRule type="dataBar" priority="5">
      <dataBar>
        <cfvo type="min"/>
        <cfvo type="max"/>
        <color rgb="FFD6007B"/>
      </dataBar>
      <extLst>
        <ext xmlns:x14="http://schemas.microsoft.com/office/spreadsheetml/2009/9/main" uri="{B025F937-C7B1-47D3-B67F-A62EFF666E3E}">
          <x14:id>{AFD8219B-7EBF-4118-BD6A-F62B4161909D}</x14:id>
        </ext>
      </extLst>
    </cfRule>
  </conditionalFormatting>
  <conditionalFormatting pivot="1" sqref="E95:E102 E88:E93">
    <cfRule type="dataBar" priority="4">
      <dataBar>
        <cfvo type="min"/>
        <cfvo type="max"/>
        <color rgb="FF008AEF"/>
      </dataBar>
      <extLst>
        <ext xmlns:x14="http://schemas.microsoft.com/office/spreadsheetml/2009/9/main" uri="{B025F937-C7B1-47D3-B67F-A62EFF666E3E}">
          <x14:id>{3D573AB2-7BFE-4525-AF28-66F62A51422F}</x14:id>
        </ext>
      </extLst>
    </cfRule>
  </conditionalFormatting>
  <conditionalFormatting pivot="1" sqref="E95:E102 E88:E93 E72:E78 E80:E86">
    <cfRule type="dataBar" priority="3">
      <dataBar>
        <cfvo type="min"/>
        <cfvo type="max"/>
        <color rgb="FFFF555A"/>
      </dataBar>
      <extLst>
        <ext xmlns:x14="http://schemas.microsoft.com/office/spreadsheetml/2009/9/main" uri="{B025F937-C7B1-47D3-B67F-A62EFF666E3E}">
          <x14:id>{11863CBA-246F-4381-846B-F3FCF94BF802}</x14:id>
        </ext>
      </extLst>
    </cfRule>
  </conditionalFormatting>
  <conditionalFormatting pivot="1" sqref="E62:E70">
    <cfRule type="dataBar" priority="2">
      <dataBar>
        <cfvo type="min"/>
        <cfvo type="max"/>
        <color rgb="FFFF555A"/>
      </dataBar>
      <extLst>
        <ext xmlns:x14="http://schemas.microsoft.com/office/spreadsheetml/2009/9/main" uri="{B025F937-C7B1-47D3-B67F-A62EFF666E3E}">
          <x14:id>{560929A9-0B0C-41E6-8863-E5A671B9E625}</x14:id>
        </ext>
      </extLst>
    </cfRule>
  </conditionalFormatting>
  <conditionalFormatting pivot="1" sqref="E54:E60">
    <cfRule type="dataBar" priority="1">
      <dataBar>
        <cfvo type="min"/>
        <cfvo type="max"/>
        <color theme="6" tint="-0.249977111117893"/>
      </dataBar>
      <extLst>
        <ext xmlns:x14="http://schemas.microsoft.com/office/spreadsheetml/2009/9/main" uri="{B025F937-C7B1-47D3-B67F-A62EFF666E3E}">
          <x14:id>{6C6EE7F5-4DDC-48D4-95C5-CDA7CA6CB2E3}</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F454D7B2-C609-4104-A738-41BC76EFF6E8}">
            <x14:dataBar minLength="0" maxLength="100" border="1" negativeBarBorderColorSameAsPositive="0">
              <x14:cfvo type="autoMin"/>
              <x14:cfvo type="autoMax"/>
              <x14:borderColor rgb="FF638EC6"/>
              <x14:negativeFillColor rgb="FFFF0000"/>
              <x14:negativeBorderColor rgb="FFFF0000"/>
              <x14:axisColor rgb="FF000000"/>
            </x14:dataBar>
          </x14:cfRule>
          <xm:sqref>E5:E11</xm:sqref>
        </x14:conditionalFormatting>
        <x14:conditionalFormatting xmlns:xm="http://schemas.microsoft.com/office/excel/2006/main" pivot="1">
          <x14:cfRule type="dataBar" id="{5A487D33-82B1-441E-8C26-38C925464A67}">
            <x14:dataBar minLength="0" maxLength="100" border="1" negativeBarBorderColorSameAsPositive="0">
              <x14:cfvo type="autoMin"/>
              <x14:cfvo type="autoMax"/>
              <x14:borderColor rgb="FF638EC6"/>
              <x14:negativeFillColor rgb="FFFF0000"/>
              <x14:negativeBorderColor rgb="FFFF0000"/>
              <x14:axisColor rgb="FF000000"/>
            </x14:dataBar>
          </x14:cfRule>
          <xm:sqref>E13:E19</xm:sqref>
        </x14:conditionalFormatting>
        <x14:conditionalFormatting xmlns:xm="http://schemas.microsoft.com/office/excel/2006/main" pivot="1">
          <x14:cfRule type="dataBar" id="{EBDDB9BA-FDC4-4EDB-8F0E-4DC0F0E37656}">
            <x14:dataBar minLength="0" maxLength="100" border="1" negativeBarBorderColorSameAsPositive="0">
              <x14:cfvo type="autoMin"/>
              <x14:cfvo type="autoMax"/>
              <x14:borderColor rgb="FF63C384"/>
              <x14:negativeFillColor rgb="FFFF0000"/>
              <x14:negativeBorderColor rgb="FFFF0000"/>
              <x14:axisColor rgb="FF000000"/>
            </x14:dataBar>
          </x14:cfRule>
          <xm:sqref>E21:E35</xm:sqref>
        </x14:conditionalFormatting>
        <x14:conditionalFormatting xmlns:xm="http://schemas.microsoft.com/office/excel/2006/main" pivot="1">
          <x14:cfRule type="dataBar" id="{F1C64068-ACD6-42AA-A5E3-62AFCCDC6905}">
            <x14:dataBar minLength="0" maxLength="100" border="1" negativeBarBorderColorSameAsPositive="0">
              <x14:cfvo type="autoMin"/>
              <x14:cfvo type="autoMax"/>
              <x14:borderColor rgb="FF63C384"/>
              <x14:negativeFillColor rgb="FFFF0000"/>
              <x14:negativeBorderColor rgb="FFFF0000"/>
              <x14:axisColor rgb="FF000000"/>
            </x14:dataBar>
          </x14:cfRule>
          <xm:sqref>E21:E35 E37:E43 E45:E52</xm:sqref>
        </x14:conditionalFormatting>
        <x14:conditionalFormatting xmlns:xm="http://schemas.microsoft.com/office/excel/2006/main" pivot="1">
          <x14:cfRule type="dataBar" id="{37FB9668-9234-4532-A037-A95CC7949AB9}">
            <x14:dataBar minLength="0" maxLength="100" border="1" negativeBarBorderColorSameAsPositive="0">
              <x14:cfvo type="autoMin"/>
              <x14:cfvo type="autoMax"/>
              <x14:borderColor rgb="FFFFB628"/>
              <x14:negativeFillColor rgb="FFFF0000"/>
              <x14:negativeBorderColor rgb="FFFF0000"/>
              <x14:axisColor rgb="FF000000"/>
            </x14:dataBar>
          </x14:cfRule>
          <xm:sqref>E21:E35 E37:E43 E45:E52 E196:E210 E188:E194 E180:E186 E171:E178</xm:sqref>
        </x14:conditionalFormatting>
        <x14:conditionalFormatting xmlns:xm="http://schemas.microsoft.com/office/excel/2006/main" pivot="1">
          <x14:cfRule type="dataBar" id="{201F1C47-94B3-41AD-AC7F-60810FA3074E}">
            <x14:dataBar minLength="0" maxLength="100" border="1" negativeBarBorderColorSameAsPositive="0">
              <x14:cfvo type="autoMin"/>
              <x14:cfvo type="autoMax"/>
              <x14:borderColor rgb="FFFFB628"/>
              <x14:negativeFillColor rgb="FFFF0000"/>
              <x14:negativeBorderColor rgb="FFFF0000"/>
              <x14:axisColor rgb="FF000000"/>
            </x14:dataBar>
          </x14:cfRule>
          <xm:sqref>E162:E169 E154:E160 E146:E152</xm:sqref>
        </x14:conditionalFormatting>
        <x14:conditionalFormatting xmlns:xm="http://schemas.microsoft.com/office/excel/2006/main" pivot="1">
          <x14:cfRule type="dataBar" id="{AFD8219B-7EBF-4118-BD6A-F62B4161909D}">
            <x14:dataBar minLength="0" maxLength="100" border="1" negativeBarBorderColorSameAsPositive="0">
              <x14:cfvo type="autoMin"/>
              <x14:cfvo type="autoMax"/>
              <x14:borderColor rgb="FFD6007B"/>
              <x14:negativeFillColor rgb="FFFF0000"/>
              <x14:negativeBorderColor rgb="FFFF0000"/>
              <x14:axisColor rgb="FF000000"/>
            </x14:dataBar>
          </x14:cfRule>
          <xm:sqref>E137:E144 E127:E135 E113:E125 E104:E111</xm:sqref>
        </x14:conditionalFormatting>
        <x14:conditionalFormatting xmlns:xm="http://schemas.microsoft.com/office/excel/2006/main" pivot="1">
          <x14:cfRule type="dataBar" id="{3D573AB2-7BFE-4525-AF28-66F62A51422F}">
            <x14:dataBar minLength="0" maxLength="100" border="1" negativeBarBorderColorSameAsPositive="0">
              <x14:cfvo type="autoMin"/>
              <x14:cfvo type="autoMax"/>
              <x14:borderColor rgb="FF008AEF"/>
              <x14:negativeFillColor rgb="FFFF0000"/>
              <x14:negativeBorderColor rgb="FFFF0000"/>
              <x14:axisColor rgb="FF000000"/>
            </x14:dataBar>
          </x14:cfRule>
          <xm:sqref>E95:E102 E88:E93</xm:sqref>
        </x14:conditionalFormatting>
        <x14:conditionalFormatting xmlns:xm="http://schemas.microsoft.com/office/excel/2006/main" pivot="1">
          <x14:cfRule type="dataBar" id="{11863CBA-246F-4381-846B-F3FCF94BF802}">
            <x14:dataBar minLength="0" maxLength="100" border="1" negativeBarBorderColorSameAsPositive="0">
              <x14:cfvo type="autoMin"/>
              <x14:cfvo type="autoMax"/>
              <x14:borderColor rgb="FFFF555A"/>
              <x14:negativeFillColor rgb="FFFF0000"/>
              <x14:negativeBorderColor rgb="FFFF0000"/>
              <x14:axisColor rgb="FF000000"/>
            </x14:dataBar>
          </x14:cfRule>
          <xm:sqref>E95:E102 E88:E93 E72:E78 E80:E86</xm:sqref>
        </x14:conditionalFormatting>
        <x14:conditionalFormatting xmlns:xm="http://schemas.microsoft.com/office/excel/2006/main" pivot="1">
          <x14:cfRule type="dataBar" id="{560929A9-0B0C-41E6-8863-E5A671B9E625}">
            <x14:dataBar minLength="0" maxLength="100" border="1" negativeBarBorderColorSameAsPositive="0">
              <x14:cfvo type="autoMin"/>
              <x14:cfvo type="autoMax"/>
              <x14:borderColor rgb="FFFF555A"/>
              <x14:negativeFillColor rgb="FFFF0000"/>
              <x14:negativeBorderColor rgb="FFFF0000"/>
              <x14:axisColor rgb="FF000000"/>
            </x14:dataBar>
          </x14:cfRule>
          <xm:sqref>E62:E70</xm:sqref>
        </x14:conditionalFormatting>
        <x14:conditionalFormatting xmlns:xm="http://schemas.microsoft.com/office/excel/2006/main" pivot="1">
          <x14:cfRule type="dataBar" id="{6C6EE7F5-4DDC-48D4-95C5-CDA7CA6CB2E3}">
            <x14:dataBar minLength="0" maxLength="100">
              <x14:cfvo type="autoMin"/>
              <x14:cfvo type="autoMax"/>
              <x14:negativeFillColor rgb="FFFF0000"/>
              <x14:axisColor rgb="FF000000"/>
            </x14:dataBar>
          </x14:cfRule>
          <xm:sqref>E54:E60</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37318-5745-4B08-8D92-48821876022A}">
  <dimension ref="A1:H2"/>
  <sheetViews>
    <sheetView showGridLines="0" zoomScale="70" zoomScaleNormal="70" workbookViewId="0">
      <selection activeCell="AC18" sqref="AC18"/>
    </sheetView>
  </sheetViews>
  <sheetFormatPr defaultRowHeight="14.4"/>
  <cols>
    <col min="1" max="1" width="21.88671875" bestFit="1" customWidth="1"/>
    <col min="2" max="2" width="27.88671875" bestFit="1" customWidth="1"/>
    <col min="3" max="3" width="16" bestFit="1" customWidth="1"/>
    <col min="4" max="4" width="22" bestFit="1" customWidth="1"/>
    <col min="5" max="5" width="15.77734375" bestFit="1" customWidth="1"/>
    <col min="6" max="6" width="18.5546875" bestFit="1" customWidth="1"/>
    <col min="7" max="7" width="16.109375" bestFit="1" customWidth="1"/>
    <col min="8" max="8" width="18" bestFit="1" customWidth="1"/>
  </cols>
  <sheetData>
    <row r="1" spans="1:8" ht="21">
      <c r="A1" s="37" t="s">
        <v>208</v>
      </c>
      <c r="B1" s="38"/>
      <c r="C1" s="13" t="s">
        <v>61</v>
      </c>
      <c r="D1" s="13" t="s">
        <v>209</v>
      </c>
      <c r="E1" s="13" t="s">
        <v>210</v>
      </c>
      <c r="F1" s="13" t="s">
        <v>211</v>
      </c>
      <c r="G1" s="13" t="s">
        <v>212</v>
      </c>
      <c r="H1" s="13" t="s">
        <v>213</v>
      </c>
    </row>
    <row r="2" spans="1:8" ht="18">
      <c r="C2" s="14">
        <v>3704594</v>
      </c>
      <c r="D2" s="15">
        <v>49</v>
      </c>
      <c r="E2" s="14">
        <v>1161894</v>
      </c>
      <c r="F2" s="16">
        <v>0.45637971186746101</v>
      </c>
      <c r="G2" s="16">
        <v>0.3129562610372284</v>
      </c>
      <c r="H2" s="14">
        <v>168390.63636363635</v>
      </c>
    </row>
  </sheetData>
  <mergeCells count="1">
    <mergeCell ref="A1:B1"/>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21D39-A55F-4EC6-8BC4-69FD7D3D220A}">
  <dimension ref="A1:K189"/>
  <sheetViews>
    <sheetView zoomScale="85" zoomScaleNormal="85" workbookViewId="0">
      <selection activeCell="O18" sqref="O18"/>
    </sheetView>
  </sheetViews>
  <sheetFormatPr defaultRowHeight="14.4"/>
  <cols>
    <col min="1" max="1" width="9.6640625" bestFit="1" customWidth="1"/>
    <col min="2" max="2" width="15.44140625" bestFit="1" customWidth="1"/>
    <col min="3" max="3" width="26" bestFit="1" customWidth="1"/>
    <col min="4" max="4" width="15.44140625" bestFit="1" customWidth="1"/>
    <col min="5" max="5" width="12.6640625" bestFit="1" customWidth="1"/>
    <col min="6" max="6" width="9.44140625" bestFit="1" customWidth="1"/>
    <col min="7" max="7" width="18.6640625" bestFit="1" customWidth="1"/>
    <col min="8" max="8" width="21.44140625" bestFit="1" customWidth="1"/>
    <col min="9" max="9" width="17.33203125" bestFit="1" customWidth="1"/>
    <col min="10" max="10" width="16.6640625" bestFit="1" customWidth="1"/>
    <col min="11" max="11" width="12.5546875" bestFit="1" customWidth="1"/>
    <col min="13" max="13" width="17.6640625" bestFit="1" customWidth="1"/>
    <col min="14" max="14" width="6" bestFit="1" customWidth="1"/>
  </cols>
  <sheetData>
    <row r="1" spans="1:11">
      <c r="A1" s="20" t="s">
        <v>214</v>
      </c>
      <c r="B1" s="21" t="s">
        <v>215</v>
      </c>
      <c r="C1" s="21" t="s">
        <v>216</v>
      </c>
      <c r="D1" s="21" t="s">
        <v>217</v>
      </c>
      <c r="E1" s="21" t="s">
        <v>218</v>
      </c>
      <c r="F1" s="21" t="s">
        <v>219</v>
      </c>
      <c r="G1" s="21" t="s">
        <v>220</v>
      </c>
      <c r="H1" s="21" t="s">
        <v>221</v>
      </c>
      <c r="I1" s="21" t="s">
        <v>209</v>
      </c>
      <c r="J1" s="21" t="s">
        <v>222</v>
      </c>
      <c r="K1" s="22" t="s">
        <v>223</v>
      </c>
    </row>
    <row r="2" spans="1:11" ht="15">
      <c r="A2" s="32" t="s">
        <v>224</v>
      </c>
      <c r="B2" t="s">
        <v>63</v>
      </c>
      <c r="C2" t="s">
        <v>225</v>
      </c>
      <c r="D2" t="s">
        <v>226</v>
      </c>
      <c r="E2" t="s">
        <v>227</v>
      </c>
      <c r="F2" t="s">
        <v>228</v>
      </c>
      <c r="G2" s="2">
        <v>44396</v>
      </c>
      <c r="H2">
        <f>COUNTIF(Rendelések!$H$2:$H$188,Ügyfelek!B2)</f>
        <v>2</v>
      </c>
      <c r="I2">
        <f>SUMIF(Rendelések!H2:H188,Ügyfelek!B2,Rendelések!C2:C188)</f>
        <v>3</v>
      </c>
      <c r="J2" t="str">
        <f>IF(H2=1,"Egyszeri Vásárló",IF(H2=2,"Visszatérő Vásárló",IF(H2&gt;=3,"VIP")))</f>
        <v>Visszatérő Vásárló</v>
      </c>
      <c r="K2" s="25">
        <f>SUMIF(Rendelések!H2:H188,Ügyfelek!B2,Rendelések!D2:D188)</f>
        <v>193932</v>
      </c>
    </row>
    <row r="3" spans="1:11" ht="15">
      <c r="A3" s="32" t="s">
        <v>229</v>
      </c>
      <c r="B3" t="s">
        <v>11</v>
      </c>
      <c r="C3" t="s">
        <v>230</v>
      </c>
      <c r="D3" t="s">
        <v>231</v>
      </c>
      <c r="E3" t="s">
        <v>232</v>
      </c>
      <c r="F3" t="s">
        <v>4</v>
      </c>
      <c r="G3" s="2">
        <v>45238</v>
      </c>
      <c r="H3">
        <f>COUNTIF(Rendelések!$H$2:$H$188,Ügyfelek!B3)</f>
        <v>3</v>
      </c>
      <c r="I3">
        <f>SUMIF(Rendelések!H3:H189,Ügyfelek!B3,Rendelések!C3:C189)</f>
        <v>7</v>
      </c>
      <c r="J3" t="str">
        <f t="shared" ref="J3:J66" si="0">IF(H3=1,"Egyszeri Vásárló",IF(H3=2,"Visszatérő Vásárló",IF(H3&gt;=3,"VIP")))</f>
        <v>VIP</v>
      </c>
      <c r="K3" s="25">
        <f>SUMIF(Rendelések!H3:H189,Ügyfelek!B3,Rendelések!D3:D189)</f>
        <v>593734</v>
      </c>
    </row>
    <row r="4" spans="1:11" ht="15">
      <c r="A4" s="32" t="s">
        <v>233</v>
      </c>
      <c r="B4" t="s">
        <v>64</v>
      </c>
      <c r="C4" t="s">
        <v>234</v>
      </c>
      <c r="D4" t="s">
        <v>235</v>
      </c>
      <c r="E4" t="s">
        <v>227</v>
      </c>
      <c r="F4" t="s">
        <v>236</v>
      </c>
      <c r="G4" s="2">
        <v>44101</v>
      </c>
      <c r="H4">
        <f>COUNTIF(Rendelések!$H$2:$H$188,Ügyfelek!B4)</f>
        <v>3</v>
      </c>
      <c r="I4">
        <f>SUMIF(Rendelések!H4:H190,Ügyfelek!B4,Rendelések!C4:C190)</f>
        <v>5</v>
      </c>
      <c r="J4" t="str">
        <f t="shared" si="0"/>
        <v>VIP</v>
      </c>
      <c r="K4" s="25">
        <f>SUMIF(Rendelések!H4:H190,Ügyfelek!B4,Rendelések!D4:D190)</f>
        <v>384437</v>
      </c>
    </row>
    <row r="5" spans="1:11" ht="15">
      <c r="A5" s="32" t="s">
        <v>237</v>
      </c>
      <c r="B5" t="s">
        <v>66</v>
      </c>
      <c r="C5" t="s">
        <v>238</v>
      </c>
      <c r="D5" t="s">
        <v>239</v>
      </c>
      <c r="E5" t="s">
        <v>240</v>
      </c>
      <c r="F5" t="s">
        <v>241</v>
      </c>
      <c r="G5" s="2">
        <v>45336</v>
      </c>
      <c r="H5">
        <f>COUNTIF(Rendelések!$H$2:$H$188,Ügyfelek!B5)</f>
        <v>2</v>
      </c>
      <c r="I5">
        <f>SUMIF(Rendelések!H5:H191,Ügyfelek!B5,Rendelések!C5:C191)</f>
        <v>6</v>
      </c>
      <c r="J5" t="str">
        <f t="shared" si="0"/>
        <v>Visszatérő Vásárló</v>
      </c>
      <c r="K5" s="25">
        <f>SUMIF(Rendelések!H5:H191,Ügyfelek!B5,Rendelések!D5:D191)</f>
        <v>515872</v>
      </c>
    </row>
    <row r="6" spans="1:11" ht="15">
      <c r="A6" s="32" t="s">
        <v>242</v>
      </c>
      <c r="B6" t="s">
        <v>67</v>
      </c>
      <c r="C6" t="s">
        <v>243</v>
      </c>
      <c r="D6" t="s">
        <v>244</v>
      </c>
      <c r="E6" t="s">
        <v>227</v>
      </c>
      <c r="F6" t="s">
        <v>245</v>
      </c>
      <c r="G6" s="2">
        <v>44684</v>
      </c>
      <c r="H6">
        <f>COUNTIF(Rendelések!$H$2:$H$188,Ügyfelek!B6)</f>
        <v>1</v>
      </c>
      <c r="I6">
        <f>SUMIF(Rendelések!H6:H192,Ügyfelek!B6,Rendelések!C6:C192)</f>
        <v>2</v>
      </c>
      <c r="J6" t="str">
        <f t="shared" si="0"/>
        <v>Egyszeri Vásárló</v>
      </c>
      <c r="K6" s="25">
        <f>SUMIF(Rendelések!H6:H192,Ügyfelek!B6,Rendelések!D6:D192)</f>
        <v>124680</v>
      </c>
    </row>
    <row r="7" spans="1:11" ht="15">
      <c r="A7" s="32" t="s">
        <v>246</v>
      </c>
      <c r="B7" t="s">
        <v>68</v>
      </c>
      <c r="C7" t="s">
        <v>247</v>
      </c>
      <c r="D7" t="s">
        <v>248</v>
      </c>
      <c r="E7" t="s">
        <v>227</v>
      </c>
      <c r="F7" t="s">
        <v>249</v>
      </c>
      <c r="G7" s="2">
        <v>44541</v>
      </c>
      <c r="H7">
        <f>COUNTIF(Rendelések!$H$2:$H$188,Ügyfelek!B7)</f>
        <v>2</v>
      </c>
      <c r="I7">
        <f>SUMIF(Rendelések!H7:H193,Ügyfelek!B7,Rendelések!C7:C193)</f>
        <v>3</v>
      </c>
      <c r="J7" t="str">
        <f t="shared" si="0"/>
        <v>Visszatérő Vásárló</v>
      </c>
      <c r="K7" s="25">
        <f>SUMIF(Rendelések!H7:H193,Ügyfelek!B7,Rendelések!D7:D193)</f>
        <v>242253</v>
      </c>
    </row>
    <row r="8" spans="1:11" ht="15">
      <c r="A8" s="32" t="s">
        <v>250</v>
      </c>
      <c r="B8" t="s">
        <v>69</v>
      </c>
      <c r="C8" t="s">
        <v>251</v>
      </c>
      <c r="D8" t="s">
        <v>252</v>
      </c>
      <c r="E8" t="s">
        <v>227</v>
      </c>
      <c r="F8" t="s">
        <v>245</v>
      </c>
      <c r="G8" s="2">
        <v>45679</v>
      </c>
      <c r="H8">
        <f>COUNTIF(Rendelések!$H$2:$H$188,Ügyfelek!B8)</f>
        <v>1</v>
      </c>
      <c r="I8">
        <f>SUMIF(Rendelések!H8:H194,Ügyfelek!B8,Rendelések!C8:C194)</f>
        <v>1</v>
      </c>
      <c r="J8" t="str">
        <f t="shared" si="0"/>
        <v>Egyszeri Vásárló</v>
      </c>
      <c r="K8" s="25">
        <f>SUMIF(Rendelések!H8:H194,Ügyfelek!B8,Rendelések!D8:D194)</f>
        <v>52504</v>
      </c>
    </row>
    <row r="9" spans="1:11" ht="15">
      <c r="A9" s="32" t="s">
        <v>253</v>
      </c>
      <c r="B9" t="s">
        <v>70</v>
      </c>
      <c r="C9" t="s">
        <v>254</v>
      </c>
      <c r="D9" t="s">
        <v>255</v>
      </c>
      <c r="E9" t="s">
        <v>227</v>
      </c>
      <c r="F9" t="s">
        <v>249</v>
      </c>
      <c r="G9" s="2">
        <v>44000</v>
      </c>
      <c r="H9">
        <f>COUNTIF(Rendelések!$H$2:$H$188,Ügyfelek!B9)</f>
        <v>1</v>
      </c>
      <c r="I9">
        <f>SUMIF(Rendelések!H9:H195,Ügyfelek!B9,Rendelések!C9:C195)</f>
        <v>1</v>
      </c>
      <c r="J9" t="str">
        <f t="shared" si="0"/>
        <v>Egyszeri Vásárló</v>
      </c>
      <c r="K9" s="25">
        <f>SUMIF(Rendelések!H9:H195,Ügyfelek!B9,Rendelések!D9:D195)</f>
        <v>58708</v>
      </c>
    </row>
    <row r="10" spans="1:11" ht="15">
      <c r="A10" s="32" t="s">
        <v>256</v>
      </c>
      <c r="B10" t="s">
        <v>71</v>
      </c>
      <c r="C10" t="s">
        <v>257</v>
      </c>
      <c r="D10" t="s">
        <v>258</v>
      </c>
      <c r="E10" t="s">
        <v>227</v>
      </c>
      <c r="F10" t="s">
        <v>249</v>
      </c>
      <c r="G10" s="2">
        <v>44994</v>
      </c>
      <c r="H10">
        <f>COUNTIF(Rendelések!$H$2:$H$188,Ügyfelek!B10)</f>
        <v>1</v>
      </c>
      <c r="I10">
        <f>SUMIF(Rendelések!H10:H196,Ügyfelek!B10,Rendelések!C10:C196)</f>
        <v>1</v>
      </c>
      <c r="J10" t="str">
        <f t="shared" si="0"/>
        <v>Egyszeri Vásárló</v>
      </c>
      <c r="K10" s="25">
        <f>SUMIF(Rendelések!H10:H196,Ügyfelek!B10,Rendelések!D10:D196)</f>
        <v>74578</v>
      </c>
    </row>
    <row r="11" spans="1:11" ht="15">
      <c r="A11" s="32" t="s">
        <v>259</v>
      </c>
      <c r="B11" t="s">
        <v>72</v>
      </c>
      <c r="C11" t="s">
        <v>260</v>
      </c>
      <c r="D11" t="s">
        <v>261</v>
      </c>
      <c r="E11" t="s">
        <v>227</v>
      </c>
      <c r="F11" t="s">
        <v>245</v>
      </c>
      <c r="G11" s="2">
        <v>45534</v>
      </c>
      <c r="H11">
        <f>COUNTIF(Rendelések!$H$2:$H$188,Ügyfelek!B11)</f>
        <v>3</v>
      </c>
      <c r="I11">
        <f>SUMIF(Rendelések!H11:H197,Ügyfelek!B11,Rendelések!C11:C197)</f>
        <v>6</v>
      </c>
      <c r="J11" t="str">
        <f t="shared" si="0"/>
        <v>VIP</v>
      </c>
      <c r="K11" s="25">
        <f>SUMIF(Rendelések!H11:H197,Ügyfelek!B11,Rendelések!D11:D197)</f>
        <v>543860</v>
      </c>
    </row>
    <row r="12" spans="1:11" ht="15">
      <c r="A12" s="32" t="s">
        <v>262</v>
      </c>
      <c r="B12" t="s">
        <v>2</v>
      </c>
      <c r="C12" t="s">
        <v>263</v>
      </c>
      <c r="D12" t="s">
        <v>264</v>
      </c>
      <c r="E12" t="s">
        <v>232</v>
      </c>
      <c r="F12" t="s">
        <v>7</v>
      </c>
      <c r="G12" s="2">
        <v>44311</v>
      </c>
      <c r="H12">
        <f>COUNTIF(Rendelések!$H$2:$H$188,Ügyfelek!B12)</f>
        <v>1</v>
      </c>
      <c r="I12">
        <f>SUMIF(Rendelések!H12:H198,Ügyfelek!B12,Rendelések!C12:C198)</f>
        <v>1</v>
      </c>
      <c r="J12" t="str">
        <f t="shared" si="0"/>
        <v>Egyszeri Vásárló</v>
      </c>
      <c r="K12" s="25">
        <f>SUMIF(Rendelések!H12:H198,Ügyfelek!B12,Rendelések!D12:D198)</f>
        <v>63536</v>
      </c>
    </row>
    <row r="13" spans="1:11" ht="15">
      <c r="A13" s="32" t="s">
        <v>265</v>
      </c>
      <c r="B13" t="s">
        <v>73</v>
      </c>
      <c r="C13" t="s">
        <v>266</v>
      </c>
      <c r="D13" t="s">
        <v>267</v>
      </c>
      <c r="E13" t="s">
        <v>227</v>
      </c>
      <c r="F13" t="s">
        <v>268</v>
      </c>
      <c r="G13" s="2">
        <v>44851</v>
      </c>
      <c r="H13">
        <f>COUNTIF(Rendelések!$H$2:$H$188,Ügyfelek!B13)</f>
        <v>1</v>
      </c>
      <c r="I13">
        <f>SUMIF(Rendelések!H13:H199,Ügyfelek!B13,Rendelések!C13:C199)</f>
        <v>3</v>
      </c>
      <c r="J13" t="str">
        <f t="shared" si="0"/>
        <v>Egyszeri Vásárló</v>
      </c>
      <c r="K13" s="25">
        <f>SUMIF(Rendelések!H13:H199,Ügyfelek!B13,Rendelések!D13:D199)</f>
        <v>266838</v>
      </c>
    </row>
    <row r="14" spans="1:11" ht="15">
      <c r="A14" s="32" t="s">
        <v>269</v>
      </c>
      <c r="B14" t="s">
        <v>74</v>
      </c>
      <c r="C14" t="s">
        <v>270</v>
      </c>
      <c r="D14" t="s">
        <v>271</v>
      </c>
      <c r="E14" t="s">
        <v>227</v>
      </c>
      <c r="F14" t="s">
        <v>268</v>
      </c>
      <c r="G14" s="2">
        <v>44141</v>
      </c>
      <c r="H14">
        <f>COUNTIF(Rendelések!$H$2:$H$188,Ügyfelek!B14)</f>
        <v>2</v>
      </c>
      <c r="I14">
        <f>SUMIF(Rendelések!H14:H200,Ügyfelek!B14,Rendelések!C14:C200)</f>
        <v>5</v>
      </c>
      <c r="J14" t="str">
        <f t="shared" si="0"/>
        <v>Visszatérő Vásárló</v>
      </c>
      <c r="K14" s="25">
        <f>SUMIF(Rendelések!H14:H200,Ügyfelek!B14,Rendelések!D14:D200)</f>
        <v>304263</v>
      </c>
    </row>
    <row r="15" spans="1:11" ht="15">
      <c r="A15" s="32" t="s">
        <v>272</v>
      </c>
      <c r="B15" t="s">
        <v>75</v>
      </c>
      <c r="C15" t="s">
        <v>273</v>
      </c>
      <c r="D15" t="s">
        <v>274</v>
      </c>
      <c r="E15" t="s">
        <v>227</v>
      </c>
      <c r="F15" t="s">
        <v>236</v>
      </c>
      <c r="G15" s="2">
        <v>45820</v>
      </c>
      <c r="H15">
        <f>COUNTIF(Rendelések!$H$2:$H$188,Ügyfelek!B15)</f>
        <v>2</v>
      </c>
      <c r="I15">
        <f>SUMIF(Rendelések!H15:H201,Ügyfelek!B15,Rendelések!C15:C201)</f>
        <v>2</v>
      </c>
      <c r="J15" t="str">
        <f t="shared" si="0"/>
        <v>Visszatérő Vásárló</v>
      </c>
      <c r="K15" s="25">
        <f>SUMIF(Rendelések!H15:H201,Ügyfelek!B15,Rendelések!D15:D201)</f>
        <v>178360</v>
      </c>
    </row>
    <row r="16" spans="1:11" ht="15">
      <c r="A16" s="32" t="s">
        <v>275</v>
      </c>
      <c r="B16" t="s">
        <v>76</v>
      </c>
      <c r="C16" t="s">
        <v>276</v>
      </c>
      <c r="D16" t="s">
        <v>277</v>
      </c>
      <c r="E16" t="s">
        <v>227</v>
      </c>
      <c r="F16" t="s">
        <v>236</v>
      </c>
      <c r="G16" s="2">
        <v>44954</v>
      </c>
      <c r="H16">
        <f>COUNTIF(Rendelések!$H$2:$H$188,Ügyfelek!B16)</f>
        <v>1</v>
      </c>
      <c r="I16">
        <f>SUMIF(Rendelések!H16:H202,Ügyfelek!B16,Rendelések!C16:C202)</f>
        <v>1</v>
      </c>
      <c r="J16" t="str">
        <f t="shared" si="0"/>
        <v>Egyszeri Vásárló</v>
      </c>
      <c r="K16" s="25">
        <f>SUMIF(Rendelések!H16:H202,Ügyfelek!B16,Rendelések!D16:D202)</f>
        <v>85841</v>
      </c>
    </row>
    <row r="17" spans="1:11" ht="15">
      <c r="A17" s="32" t="s">
        <v>278</v>
      </c>
      <c r="B17" t="s">
        <v>77</v>
      </c>
      <c r="C17" t="s">
        <v>279</v>
      </c>
      <c r="D17" s="33" t="s">
        <v>280</v>
      </c>
      <c r="E17" t="s">
        <v>281</v>
      </c>
      <c r="F17" t="s">
        <v>282</v>
      </c>
      <c r="G17" s="2">
        <v>45387</v>
      </c>
      <c r="H17">
        <f>COUNTIF(Rendelések!$H$2:$H$188,Ügyfelek!B17)</f>
        <v>1</v>
      </c>
      <c r="I17">
        <f>SUMIF(Rendelések!H17:H203,Ügyfelek!B17,Rendelések!C17:C203)</f>
        <v>4</v>
      </c>
      <c r="J17" t="str">
        <f t="shared" si="0"/>
        <v>Egyszeri Vásárló</v>
      </c>
      <c r="K17" s="25">
        <f>SUMIF(Rendelések!H17:H203,Ügyfelek!B17,Rendelések!D17:D203)</f>
        <v>323004</v>
      </c>
    </row>
    <row r="18" spans="1:11" ht="15">
      <c r="A18" s="32" t="s">
        <v>283</v>
      </c>
      <c r="B18" t="s">
        <v>78</v>
      </c>
      <c r="C18" t="s">
        <v>284</v>
      </c>
      <c r="D18" t="s">
        <v>285</v>
      </c>
      <c r="E18" t="s">
        <v>227</v>
      </c>
      <c r="F18" t="s">
        <v>249</v>
      </c>
      <c r="G18" s="2">
        <v>44453</v>
      </c>
      <c r="H18">
        <f>COUNTIF(Rendelések!$H$2:$H$188,Ügyfelek!B18)</f>
        <v>1</v>
      </c>
      <c r="I18">
        <f>SUMIF(Rendelések!H18:H204,Ügyfelek!B18,Rendelések!C18:C204)</f>
        <v>1</v>
      </c>
      <c r="J18" t="str">
        <f t="shared" si="0"/>
        <v>Egyszeri Vásárló</v>
      </c>
      <c r="K18" s="25">
        <f>SUMIF(Rendelések!H18:H204,Ügyfelek!B18,Rendelések!D18:D204)</f>
        <v>88127</v>
      </c>
    </row>
    <row r="19" spans="1:11" ht="15">
      <c r="A19" s="32" t="s">
        <v>286</v>
      </c>
      <c r="B19" t="s">
        <v>79</v>
      </c>
      <c r="C19" t="s">
        <v>287</v>
      </c>
      <c r="D19" t="s">
        <v>288</v>
      </c>
      <c r="E19" t="s">
        <v>227</v>
      </c>
      <c r="F19" t="s">
        <v>249</v>
      </c>
      <c r="G19" s="2">
        <v>44763</v>
      </c>
      <c r="H19">
        <f>COUNTIF(Rendelések!$H$2:$H$188,Ügyfelek!B19)</f>
        <v>2</v>
      </c>
      <c r="I19">
        <f>SUMIF(Rendelések!H19:H205,Ügyfelek!B19,Rendelések!C19:C205)</f>
        <v>7</v>
      </c>
      <c r="J19" t="str">
        <f t="shared" si="0"/>
        <v>Visszatérő Vásárló</v>
      </c>
      <c r="K19" s="25">
        <f>SUMIF(Rendelések!H19:H205,Ügyfelek!B19,Rendelések!D19:D205)</f>
        <v>509187</v>
      </c>
    </row>
    <row r="20" spans="1:11" ht="15">
      <c r="A20" s="32" t="s">
        <v>289</v>
      </c>
      <c r="B20" t="s">
        <v>80</v>
      </c>
      <c r="C20" t="s">
        <v>290</v>
      </c>
      <c r="D20" t="s">
        <v>291</v>
      </c>
      <c r="E20" t="s">
        <v>227</v>
      </c>
      <c r="F20" t="s">
        <v>236</v>
      </c>
      <c r="G20" s="2">
        <v>45717</v>
      </c>
      <c r="H20">
        <f>COUNTIF(Rendelések!$H$2:$H$188,Ügyfelek!B20)</f>
        <v>1</v>
      </c>
      <c r="I20">
        <f>SUMIF(Rendelések!H20:H206,Ügyfelek!B20,Rendelések!C20:C206)</f>
        <v>1</v>
      </c>
      <c r="J20" t="str">
        <f t="shared" si="0"/>
        <v>Egyszeri Vásárló</v>
      </c>
      <c r="K20" s="25">
        <f>SUMIF(Rendelések!H20:H206,Ügyfelek!B20,Rendelések!D20:D206)</f>
        <v>64014</v>
      </c>
    </row>
    <row r="21" spans="1:11" ht="15">
      <c r="A21" s="32" t="s">
        <v>292</v>
      </c>
      <c r="B21" t="s">
        <v>81</v>
      </c>
      <c r="C21" t="s">
        <v>293</v>
      </c>
      <c r="D21" t="s">
        <v>294</v>
      </c>
      <c r="E21" t="s">
        <v>227</v>
      </c>
      <c r="F21" t="s">
        <v>295</v>
      </c>
      <c r="G21" s="2">
        <v>44174</v>
      </c>
      <c r="H21">
        <f>COUNTIF(Rendelések!$H$2:$H$188,Ügyfelek!B21)</f>
        <v>2</v>
      </c>
      <c r="I21">
        <f>SUMIF(Rendelések!H21:H207,Ügyfelek!B21,Rendelések!C21:C207)</f>
        <v>5</v>
      </c>
      <c r="J21" t="str">
        <f t="shared" si="0"/>
        <v>Visszatérő Vásárló</v>
      </c>
      <c r="K21" s="25">
        <f>SUMIF(Rendelések!H21:H207,Ügyfelek!B21,Rendelések!D21:D207)</f>
        <v>375508</v>
      </c>
    </row>
    <row r="22" spans="1:11" ht="15">
      <c r="A22" s="32" t="s">
        <v>296</v>
      </c>
      <c r="B22" t="s">
        <v>82</v>
      </c>
      <c r="C22" t="s">
        <v>297</v>
      </c>
      <c r="D22" t="s">
        <v>298</v>
      </c>
      <c r="E22" t="s">
        <v>227</v>
      </c>
      <c r="F22" t="s">
        <v>249</v>
      </c>
      <c r="G22" s="2">
        <v>45103</v>
      </c>
      <c r="H22">
        <f>COUNTIF(Rendelések!$H$2:$H$188,Ügyfelek!B22)</f>
        <v>2</v>
      </c>
      <c r="I22">
        <f>SUMIF(Rendelések!H22:H208,Ügyfelek!B22,Rendelések!C22:C208)</f>
        <v>5</v>
      </c>
      <c r="J22" t="str">
        <f t="shared" si="0"/>
        <v>Visszatérő Vásárló</v>
      </c>
      <c r="K22" s="25">
        <f>SUMIF(Rendelések!H22:H208,Ügyfelek!B22,Rendelések!D22:D208)</f>
        <v>479571</v>
      </c>
    </row>
    <row r="23" spans="1:11" ht="15">
      <c r="A23" s="32" t="s">
        <v>299</v>
      </c>
      <c r="B23" t="s">
        <v>5</v>
      </c>
      <c r="C23" t="s">
        <v>300</v>
      </c>
      <c r="D23" t="s">
        <v>301</v>
      </c>
      <c r="E23" t="s">
        <v>232</v>
      </c>
      <c r="F23" t="s">
        <v>13</v>
      </c>
      <c r="G23" s="2">
        <v>45304</v>
      </c>
      <c r="H23">
        <f>COUNTIF(Rendelések!$H$2:$H$188,Ügyfelek!B23)</f>
        <v>2</v>
      </c>
      <c r="I23">
        <f>SUMIF(Rendelések!H23:H209,Ügyfelek!B23,Rendelések!C23:C209)</f>
        <v>7</v>
      </c>
      <c r="J23" t="str">
        <f t="shared" si="0"/>
        <v>Visszatérő Vásárló</v>
      </c>
      <c r="K23" s="25">
        <f>SUMIF(Rendelések!H23:H209,Ügyfelek!B23,Rendelések!D23:D209)</f>
        <v>588051</v>
      </c>
    </row>
    <row r="24" spans="1:11" ht="15">
      <c r="A24" s="32" t="s">
        <v>302</v>
      </c>
      <c r="B24" t="s">
        <v>83</v>
      </c>
      <c r="C24" t="s">
        <v>303</v>
      </c>
      <c r="D24" t="s">
        <v>304</v>
      </c>
      <c r="E24" t="s">
        <v>227</v>
      </c>
      <c r="F24" t="s">
        <v>228</v>
      </c>
      <c r="G24" s="2">
        <v>44471</v>
      </c>
      <c r="H24">
        <f>COUNTIF(Rendelések!$H$2:$H$188,Ügyfelek!B24)</f>
        <v>2</v>
      </c>
      <c r="I24">
        <f>SUMIF(Rendelések!H24:H210,Ügyfelek!B24,Rendelések!C24:C210)</f>
        <v>3</v>
      </c>
      <c r="J24" t="str">
        <f t="shared" si="0"/>
        <v>Visszatérő Vásárló</v>
      </c>
      <c r="K24" s="25">
        <f>SUMIF(Rendelések!H24:H210,Ügyfelek!B24,Rendelések!D24:D210)</f>
        <v>291425</v>
      </c>
    </row>
    <row r="25" spans="1:11" ht="15">
      <c r="A25" s="32" t="s">
        <v>305</v>
      </c>
      <c r="B25" t="s">
        <v>84</v>
      </c>
      <c r="C25" t="s">
        <v>306</v>
      </c>
      <c r="D25" t="s">
        <v>307</v>
      </c>
      <c r="E25" t="s">
        <v>227</v>
      </c>
      <c r="F25" t="s">
        <v>268</v>
      </c>
      <c r="G25" s="2">
        <v>44635</v>
      </c>
      <c r="H25">
        <f>COUNTIF(Rendelések!$H$2:$H$188,Ügyfelek!B25)</f>
        <v>1</v>
      </c>
      <c r="I25">
        <f>SUMIF(Rendelések!H25:H211,Ügyfelek!B25,Rendelések!C25:C211)</f>
        <v>3</v>
      </c>
      <c r="J25" t="str">
        <f t="shared" si="0"/>
        <v>Egyszeri Vásárló</v>
      </c>
      <c r="K25" s="25">
        <f>SUMIF(Rendelések!H25:H211,Ügyfelek!B25,Rendelések!D25:D211)</f>
        <v>213888</v>
      </c>
    </row>
    <row r="26" spans="1:11" ht="15">
      <c r="A26" s="32" t="s">
        <v>308</v>
      </c>
      <c r="B26" t="s">
        <v>85</v>
      </c>
      <c r="C26" t="s">
        <v>309</v>
      </c>
      <c r="D26" t="s">
        <v>310</v>
      </c>
      <c r="E26" t="s">
        <v>227</v>
      </c>
      <c r="F26" t="s">
        <v>295</v>
      </c>
      <c r="G26" s="2">
        <v>45918</v>
      </c>
      <c r="H26">
        <f>COUNTIF(Rendelések!$H$2:$H$188,Ügyfelek!B26)</f>
        <v>1</v>
      </c>
      <c r="I26">
        <f>SUMIF(Rendelések!H26:H212,Ügyfelek!B26,Rendelések!C26:C212)</f>
        <v>4</v>
      </c>
      <c r="J26" t="str">
        <f t="shared" si="0"/>
        <v>Egyszeri Vásárló</v>
      </c>
      <c r="K26" s="25">
        <f>SUMIF(Rendelések!H26:H212,Ügyfelek!B26,Rendelések!D26:D212)</f>
        <v>342924</v>
      </c>
    </row>
    <row r="27" spans="1:11" ht="15">
      <c r="A27" s="32" t="s">
        <v>311</v>
      </c>
      <c r="B27" t="s">
        <v>86</v>
      </c>
      <c r="C27" t="s">
        <v>312</v>
      </c>
      <c r="D27" t="s">
        <v>313</v>
      </c>
      <c r="E27" t="s">
        <v>240</v>
      </c>
      <c r="F27" t="s">
        <v>241</v>
      </c>
      <c r="G27" s="2">
        <v>44050</v>
      </c>
      <c r="H27">
        <f>COUNTIF(Rendelések!$H$2:$H$188,Ügyfelek!B27)</f>
        <v>2</v>
      </c>
      <c r="I27">
        <f>SUMIF(Rendelések!H27:H213,Ügyfelek!B27,Rendelések!C27:C213)</f>
        <v>4</v>
      </c>
      <c r="J27" t="str">
        <f t="shared" si="0"/>
        <v>Visszatérő Vásárló</v>
      </c>
      <c r="K27" s="25">
        <f>SUMIF(Rendelések!H27:H213,Ügyfelek!B27,Rendelések!D27:D213)</f>
        <v>234771</v>
      </c>
    </row>
    <row r="28" spans="1:11" ht="15">
      <c r="A28" s="32" t="s">
        <v>314</v>
      </c>
      <c r="B28" t="s">
        <v>87</v>
      </c>
      <c r="C28" t="s">
        <v>315</v>
      </c>
      <c r="D28" t="s">
        <v>316</v>
      </c>
      <c r="E28" t="s">
        <v>227</v>
      </c>
      <c r="F28" t="s">
        <v>228</v>
      </c>
      <c r="G28" s="2">
        <v>45284</v>
      </c>
      <c r="H28">
        <f>COUNTIF(Rendelések!$H$2:$H$188,Ügyfelek!B28)</f>
        <v>1</v>
      </c>
      <c r="I28">
        <f>SUMIF(Rendelések!H28:H214,Ügyfelek!B28,Rendelések!C28:C214)</f>
        <v>3</v>
      </c>
      <c r="J28" t="str">
        <f t="shared" si="0"/>
        <v>Egyszeri Vásárló</v>
      </c>
      <c r="K28" s="25">
        <f>SUMIF(Rendelések!H28:H214,Ügyfelek!B28,Rendelések!D28:D214)</f>
        <v>187020</v>
      </c>
    </row>
    <row r="29" spans="1:11" ht="15">
      <c r="A29" s="32" t="s">
        <v>317</v>
      </c>
      <c r="B29" t="s">
        <v>88</v>
      </c>
      <c r="C29" t="s">
        <v>318</v>
      </c>
      <c r="D29" t="s">
        <v>319</v>
      </c>
      <c r="E29" t="s">
        <v>227</v>
      </c>
      <c r="F29" t="s">
        <v>249</v>
      </c>
      <c r="G29" s="2">
        <v>45423</v>
      </c>
      <c r="H29">
        <f>COUNTIF(Rendelések!$H$2:$H$188,Ügyfelek!B29)</f>
        <v>3</v>
      </c>
      <c r="I29">
        <f>SUMIF(Rendelések!H29:H215,Ügyfelek!B29,Rendelések!C29:C215)</f>
        <v>4</v>
      </c>
      <c r="J29" t="str">
        <f t="shared" si="0"/>
        <v>VIP</v>
      </c>
      <c r="K29" s="25">
        <f>SUMIF(Rendelések!H29:H215,Ügyfelek!B29,Rendelések!D29:D215)</f>
        <v>328223</v>
      </c>
    </row>
    <row r="30" spans="1:11" ht="15">
      <c r="A30" s="32" t="s">
        <v>320</v>
      </c>
      <c r="B30" t="s">
        <v>89</v>
      </c>
      <c r="C30" t="s">
        <v>321</v>
      </c>
      <c r="D30" s="33" t="s">
        <v>322</v>
      </c>
      <c r="E30" t="s">
        <v>323</v>
      </c>
      <c r="F30" t="s">
        <v>324</v>
      </c>
      <c r="G30" s="2">
        <v>44226</v>
      </c>
      <c r="H30">
        <f>COUNTIF(Rendelések!$H$2:$H$188,Ügyfelek!B30)</f>
        <v>2</v>
      </c>
      <c r="I30">
        <f>SUMIF(Rendelések!H30:H216,Ügyfelek!B30,Rendelések!C30:C216)</f>
        <v>8</v>
      </c>
      <c r="J30" t="str">
        <f t="shared" si="0"/>
        <v>Visszatérő Vásárló</v>
      </c>
      <c r="K30" s="25">
        <f>SUMIF(Rendelések!H30:H216,Ügyfelek!B30,Rendelések!D30:D216)</f>
        <v>466072</v>
      </c>
    </row>
    <row r="31" spans="1:11" ht="15">
      <c r="A31" s="32" t="s">
        <v>325</v>
      </c>
      <c r="B31" t="s">
        <v>90</v>
      </c>
      <c r="C31" t="s">
        <v>326</v>
      </c>
      <c r="D31" t="s">
        <v>327</v>
      </c>
      <c r="E31" t="s">
        <v>227</v>
      </c>
      <c r="F31" t="s">
        <v>295</v>
      </c>
      <c r="G31" s="2">
        <v>44823</v>
      </c>
      <c r="H31">
        <f>COUNTIF(Rendelések!$H$2:$H$188,Ügyfelek!B31)</f>
        <v>1</v>
      </c>
      <c r="I31">
        <f>SUMIF(Rendelések!H31:H217,Ügyfelek!B31,Rendelések!C31:C217)</f>
        <v>4</v>
      </c>
      <c r="J31" t="str">
        <f t="shared" si="0"/>
        <v>Egyszeri Vásárló</v>
      </c>
      <c r="K31" s="25">
        <f>SUMIF(Rendelések!H31:H217,Ügyfelek!B31,Rendelések!D31:D217)</f>
        <v>210016</v>
      </c>
    </row>
    <row r="32" spans="1:11" ht="15">
      <c r="A32" s="32" t="s">
        <v>328</v>
      </c>
      <c r="B32" t="s">
        <v>91</v>
      </c>
      <c r="C32" t="s">
        <v>329</v>
      </c>
      <c r="D32" t="s">
        <v>330</v>
      </c>
      <c r="E32" t="s">
        <v>227</v>
      </c>
      <c r="F32" t="s">
        <v>228</v>
      </c>
      <c r="G32" s="2">
        <v>45842</v>
      </c>
      <c r="H32">
        <f>COUNTIF(Rendelések!$H$2:$H$188,Ügyfelek!B32)</f>
        <v>1</v>
      </c>
      <c r="I32">
        <f>SUMIF(Rendelések!H32:H218,Ügyfelek!B32,Rendelések!C32:C218)</f>
        <v>4</v>
      </c>
      <c r="J32" t="str">
        <f t="shared" si="0"/>
        <v>Egyszeri Vásárló</v>
      </c>
      <c r="K32" s="25">
        <f>SUMIF(Rendelések!H32:H218,Ügyfelek!B32,Rendelések!D32:D218)</f>
        <v>345896</v>
      </c>
    </row>
    <row r="33" spans="1:11" ht="15">
      <c r="A33" s="32" t="s">
        <v>331</v>
      </c>
      <c r="B33" t="s">
        <v>92</v>
      </c>
      <c r="C33" t="s">
        <v>332</v>
      </c>
      <c r="D33" t="s">
        <v>333</v>
      </c>
      <c r="E33" t="s">
        <v>227</v>
      </c>
      <c r="F33" t="s">
        <v>228</v>
      </c>
      <c r="G33" s="2">
        <v>43942</v>
      </c>
      <c r="H33">
        <f>COUNTIF(Rendelések!$H$2:$H$188,Ügyfelek!B33)</f>
        <v>1</v>
      </c>
      <c r="I33">
        <f>SUMIF(Rendelések!H33:H219,Ügyfelek!B33,Rendelések!C33:C219)</f>
        <v>1</v>
      </c>
      <c r="J33" t="str">
        <f t="shared" si="0"/>
        <v>Egyszeri Vásárló</v>
      </c>
      <c r="K33" s="25">
        <f>SUMIF(Rendelések!H33:H219,Ügyfelek!B33,Rendelések!D33:D219)</f>
        <v>63536</v>
      </c>
    </row>
    <row r="34" spans="1:11" ht="15">
      <c r="A34" s="32" t="s">
        <v>334</v>
      </c>
      <c r="B34" t="s">
        <v>93</v>
      </c>
      <c r="C34" t="s">
        <v>335</v>
      </c>
      <c r="D34" t="s">
        <v>336</v>
      </c>
      <c r="E34" t="s">
        <v>227</v>
      </c>
      <c r="F34" t="s">
        <v>228</v>
      </c>
      <c r="G34" s="2">
        <v>45154</v>
      </c>
      <c r="H34">
        <f>COUNTIF(Rendelések!$H$2:$H$188,Ügyfelek!B34)</f>
        <v>2</v>
      </c>
      <c r="I34">
        <f>SUMIF(Rendelések!H34:H220,Ügyfelek!B34,Rendelések!C34:C220)</f>
        <v>4</v>
      </c>
      <c r="J34" t="str">
        <f t="shared" si="0"/>
        <v>Visszatérő Vásárló</v>
      </c>
      <c r="K34" s="25">
        <f>SUMIF(Rendelések!H34:H220,Ügyfelek!B34,Rendelések!D34:D220)</f>
        <v>272793</v>
      </c>
    </row>
    <row r="35" spans="1:11" ht="15">
      <c r="A35" s="32" t="s">
        <v>337</v>
      </c>
      <c r="B35" t="s">
        <v>94</v>
      </c>
      <c r="C35" t="s">
        <v>338</v>
      </c>
      <c r="D35" t="s">
        <v>339</v>
      </c>
      <c r="E35" t="s">
        <v>227</v>
      </c>
      <c r="F35" t="s">
        <v>268</v>
      </c>
      <c r="G35" s="2">
        <v>45623</v>
      </c>
      <c r="H35">
        <f>COUNTIF(Rendelések!$H$2:$H$188,Ügyfelek!B35)</f>
        <v>1</v>
      </c>
      <c r="I35">
        <f>SUMIF(Rendelések!H35:H221,Ügyfelek!B35,Rendelések!C35:C221)</f>
        <v>3</v>
      </c>
      <c r="J35" t="str">
        <f t="shared" si="0"/>
        <v>Egyszeri Vásárló</v>
      </c>
      <c r="K35" s="25">
        <f>SUMIF(Rendelések!H35:H221,Ügyfelek!B35,Rendelések!D35:D221)</f>
        <v>223734</v>
      </c>
    </row>
    <row r="36" spans="1:11" ht="15">
      <c r="A36" s="32" t="s">
        <v>340</v>
      </c>
      <c r="B36" t="s">
        <v>95</v>
      </c>
      <c r="C36" t="s">
        <v>341</v>
      </c>
      <c r="D36" t="s">
        <v>342</v>
      </c>
      <c r="E36" t="s">
        <v>343</v>
      </c>
      <c r="F36" t="s">
        <v>344</v>
      </c>
      <c r="G36" s="2">
        <v>44352</v>
      </c>
      <c r="H36">
        <f>COUNTIF(Rendelések!$H$2:$H$188,Ügyfelek!B36)</f>
        <v>3</v>
      </c>
      <c r="I36">
        <f>SUMIF(Rendelések!H36:H222,Ügyfelek!B36,Rendelések!C36:C222)</f>
        <v>6</v>
      </c>
      <c r="J36" t="str">
        <f t="shared" si="0"/>
        <v>VIP</v>
      </c>
      <c r="K36" s="25">
        <f>SUMIF(Rendelések!H36:H222,Ügyfelek!B36,Rendelések!D36:D222)</f>
        <v>516002</v>
      </c>
    </row>
    <row r="37" spans="1:11" ht="15">
      <c r="A37" s="32" t="s">
        <v>345</v>
      </c>
      <c r="B37" t="s">
        <v>96</v>
      </c>
      <c r="C37" t="s">
        <v>346</v>
      </c>
      <c r="D37" t="s">
        <v>347</v>
      </c>
      <c r="E37" t="s">
        <v>227</v>
      </c>
      <c r="F37" t="s">
        <v>245</v>
      </c>
      <c r="G37" s="2">
        <v>44573</v>
      </c>
      <c r="H37">
        <f>COUNTIF(Rendelések!$H$2:$H$188,Ügyfelek!B37)</f>
        <v>1</v>
      </c>
      <c r="I37">
        <f>SUMIF(Rendelések!H37:H223,Ügyfelek!B37,Rendelések!C37:C223)</f>
        <v>4</v>
      </c>
      <c r="J37" t="str">
        <f t="shared" si="0"/>
        <v>Egyszeri Vásárló</v>
      </c>
      <c r="K37" s="25">
        <f>SUMIF(Rendelések!H37:H223,Ügyfelek!B37,Rendelések!D37:D223)</f>
        <v>378896</v>
      </c>
    </row>
    <row r="38" spans="1:11" ht="15">
      <c r="A38" s="32" t="s">
        <v>348</v>
      </c>
      <c r="B38" t="s">
        <v>97</v>
      </c>
      <c r="C38" t="s">
        <v>349</v>
      </c>
      <c r="D38" t="s">
        <v>350</v>
      </c>
      <c r="E38" t="s">
        <v>227</v>
      </c>
      <c r="F38" t="s">
        <v>245</v>
      </c>
      <c r="G38" s="2">
        <v>45711</v>
      </c>
      <c r="H38">
        <f>COUNTIF(Rendelések!$H$2:$H$188,Ügyfelek!B38)</f>
        <v>2</v>
      </c>
      <c r="I38">
        <f>SUMIF(Rendelések!H38:H224,Ügyfelek!B38,Rendelések!C38:C224)</f>
        <v>5</v>
      </c>
      <c r="J38" t="str">
        <f t="shared" si="0"/>
        <v>Visszatérő Vásárló</v>
      </c>
      <c r="K38" s="25">
        <f>SUMIF(Rendelések!H38:H224,Ügyfelek!B38,Rendelések!D38:D224)</f>
        <v>428340</v>
      </c>
    </row>
    <row r="39" spans="1:11" ht="15">
      <c r="A39" s="32" t="s">
        <v>351</v>
      </c>
      <c r="B39" t="s">
        <v>98</v>
      </c>
      <c r="C39" t="s">
        <v>352</v>
      </c>
      <c r="D39" t="s">
        <v>353</v>
      </c>
      <c r="E39" t="s">
        <v>227</v>
      </c>
      <c r="F39" t="s">
        <v>245</v>
      </c>
      <c r="G39" s="2">
        <v>44135</v>
      </c>
      <c r="H39">
        <f>COUNTIF(Rendelések!$H$2:$H$188,Ügyfelek!B39)</f>
        <v>1</v>
      </c>
      <c r="I39">
        <f>SUMIF(Rendelések!H39:H225,Ügyfelek!B39,Rendelések!C39:C225)</f>
        <v>2</v>
      </c>
      <c r="J39" t="str">
        <f t="shared" si="0"/>
        <v>Egyszeri Vásárló</v>
      </c>
      <c r="K39" s="25">
        <f>SUMIF(Rendelések!H39:H225,Ügyfelek!B39,Rendelések!D39:D225)</f>
        <v>188494</v>
      </c>
    </row>
    <row r="40" spans="1:11" ht="15">
      <c r="A40" s="32" t="s">
        <v>354</v>
      </c>
      <c r="B40" t="s">
        <v>99</v>
      </c>
      <c r="C40" t="s">
        <v>355</v>
      </c>
      <c r="D40" s="33" t="s">
        <v>356</v>
      </c>
      <c r="E40" t="s">
        <v>357</v>
      </c>
      <c r="F40" t="s">
        <v>358</v>
      </c>
      <c r="G40" s="2">
        <v>45024</v>
      </c>
      <c r="H40">
        <f>COUNTIF(Rendelések!$H$2:$H$188,Ügyfelek!B40)</f>
        <v>3</v>
      </c>
      <c r="I40">
        <f>SUMIF(Rendelések!H40:H226,Ügyfelek!B40,Rendelések!C40:C226)</f>
        <v>8</v>
      </c>
      <c r="J40" t="str">
        <f t="shared" si="0"/>
        <v>VIP</v>
      </c>
      <c r="K40" s="25">
        <f>SUMIF(Rendelések!H40:H226,Ügyfelek!B40,Rendelések!D40:D226)</f>
        <v>729973</v>
      </c>
    </row>
    <row r="41" spans="1:11" ht="15">
      <c r="A41" s="32" t="s">
        <v>359</v>
      </c>
      <c r="B41" t="s">
        <v>100</v>
      </c>
      <c r="C41" t="s">
        <v>360</v>
      </c>
      <c r="D41" t="s">
        <v>361</v>
      </c>
      <c r="E41" t="s">
        <v>227</v>
      </c>
      <c r="F41" t="s">
        <v>245</v>
      </c>
      <c r="G41" s="2">
        <v>45472</v>
      </c>
      <c r="H41">
        <f>COUNTIF(Rendelések!$H$2:$H$188,Ügyfelek!B41)</f>
        <v>1</v>
      </c>
      <c r="I41">
        <f>SUMIF(Rendelések!H41:H227,Ügyfelek!B41,Rendelések!C41:C227)</f>
        <v>2</v>
      </c>
      <c r="J41" t="str">
        <f t="shared" si="0"/>
        <v>Egyszeri Vásárló</v>
      </c>
      <c r="K41" s="25">
        <f>SUMIF(Rendelések!H41:H227,Ügyfelek!B41,Rendelések!D41:D227)</f>
        <v>128028</v>
      </c>
    </row>
    <row r="42" spans="1:11" ht="15">
      <c r="A42" s="32" t="s">
        <v>362</v>
      </c>
      <c r="B42" t="s">
        <v>101</v>
      </c>
      <c r="C42" t="s">
        <v>363</v>
      </c>
      <c r="D42" t="s">
        <v>364</v>
      </c>
      <c r="E42" t="s">
        <v>227</v>
      </c>
      <c r="F42" t="s">
        <v>295</v>
      </c>
      <c r="G42" s="2">
        <v>44272</v>
      </c>
      <c r="H42">
        <f>COUNTIF(Rendelések!$H$2:$H$188,Ügyfelek!B42)</f>
        <v>1</v>
      </c>
      <c r="I42">
        <f>SUMIF(Rendelések!H42:H228,Ügyfelek!B42,Rendelések!C42:C228)</f>
        <v>2</v>
      </c>
      <c r="J42" t="str">
        <f t="shared" si="0"/>
        <v>Egyszeri Vásárló</v>
      </c>
      <c r="K42" s="25">
        <f>SUMIF(Rendelések!H42:H228,Ügyfelek!B42,Rendelések!D42:D228)</f>
        <v>171682</v>
      </c>
    </row>
    <row r="43" spans="1:11" ht="15">
      <c r="A43" s="32" t="s">
        <v>365</v>
      </c>
      <c r="B43" t="s">
        <v>102</v>
      </c>
      <c r="C43" t="s">
        <v>366</v>
      </c>
      <c r="D43" t="s">
        <v>367</v>
      </c>
      <c r="E43" t="s">
        <v>227</v>
      </c>
      <c r="F43" t="s">
        <v>245</v>
      </c>
      <c r="G43" s="2">
        <v>44798</v>
      </c>
      <c r="H43">
        <f>COUNTIF(Rendelések!$H$2:$H$188,Ügyfelek!B43)</f>
        <v>1</v>
      </c>
      <c r="I43">
        <f>SUMIF(Rendelések!H43:H229,Ügyfelek!B43,Rendelések!C43:C229)</f>
        <v>1</v>
      </c>
      <c r="J43" t="str">
        <f t="shared" si="0"/>
        <v>Egyszeri Vásárló</v>
      </c>
      <c r="K43" s="25">
        <f>SUMIF(Rendelések!H43:H229,Ügyfelek!B43,Rendelések!D43:D229)</f>
        <v>58708</v>
      </c>
    </row>
    <row r="44" spans="1:11" ht="15">
      <c r="A44" s="32" t="s">
        <v>368</v>
      </c>
      <c r="B44" t="s">
        <v>103</v>
      </c>
      <c r="C44" t="s">
        <v>369</v>
      </c>
      <c r="D44" t="s">
        <v>370</v>
      </c>
      <c r="E44" t="s">
        <v>227</v>
      </c>
      <c r="F44" t="s">
        <v>268</v>
      </c>
      <c r="G44" s="2">
        <v>45791</v>
      </c>
      <c r="H44">
        <f>COUNTIF(Rendelések!$H$2:$H$188,Ügyfelek!B44)</f>
        <v>1</v>
      </c>
      <c r="I44">
        <f>SUMIF(Rendelések!H44:H230,Ügyfelek!B44,Rendelések!C44:C230)</f>
        <v>5</v>
      </c>
      <c r="J44" t="str">
        <f t="shared" si="0"/>
        <v>Egyszeri Vásárló</v>
      </c>
      <c r="K44" s="25">
        <f>SUMIF(Rendelések!H44:H230,Ügyfelek!B44,Rendelések!D44:D230)</f>
        <v>403755</v>
      </c>
    </row>
    <row r="45" spans="1:11" ht="15">
      <c r="A45" s="32" t="s">
        <v>371</v>
      </c>
      <c r="B45" t="s">
        <v>104</v>
      </c>
      <c r="C45" t="s">
        <v>372</v>
      </c>
      <c r="D45" t="s">
        <v>373</v>
      </c>
      <c r="E45" t="s">
        <v>240</v>
      </c>
      <c r="F45" t="s">
        <v>241</v>
      </c>
      <c r="G45" s="2">
        <v>44014</v>
      </c>
      <c r="H45">
        <f>COUNTIF(Rendelések!$H$2:$H$188,Ügyfelek!B45)</f>
        <v>2</v>
      </c>
      <c r="I45">
        <f>SUMIF(Rendelések!H45:H231,Ügyfelek!B45,Rendelések!C45:C231)</f>
        <v>2</v>
      </c>
      <c r="J45" t="str">
        <f t="shared" si="0"/>
        <v>Visszatérő Vásárló</v>
      </c>
      <c r="K45" s="25">
        <f>SUMIF(Rendelések!H45:H231,Ügyfelek!B45,Rendelések!D45:D231)</f>
        <v>185131</v>
      </c>
    </row>
    <row r="46" spans="1:11" ht="15">
      <c r="A46" s="32" t="s">
        <v>374</v>
      </c>
      <c r="B46" t="s">
        <v>105</v>
      </c>
      <c r="C46" t="s">
        <v>375</v>
      </c>
      <c r="D46" t="s">
        <v>376</v>
      </c>
      <c r="E46" t="s">
        <v>227</v>
      </c>
      <c r="F46" t="s">
        <v>236</v>
      </c>
      <c r="G46" s="2">
        <v>45209</v>
      </c>
      <c r="H46">
        <f>COUNTIF(Rendelések!$H$2:$H$188,Ügyfelek!B46)</f>
        <v>1</v>
      </c>
      <c r="I46">
        <f>SUMIF(Rendelések!H46:H232,Ügyfelek!B46,Rendelések!C46:C232)</f>
        <v>2</v>
      </c>
      <c r="J46" t="str">
        <f t="shared" si="0"/>
        <v>Egyszeri Vásárló</v>
      </c>
      <c r="K46" s="25">
        <f>SUMIF(Rendelések!H46:H232,Ügyfelek!B46,Rendelések!D46:D232)</f>
        <v>105008</v>
      </c>
    </row>
    <row r="47" spans="1:11" ht="15">
      <c r="A47" s="32" t="s">
        <v>377</v>
      </c>
      <c r="B47" t="s">
        <v>106</v>
      </c>
      <c r="C47" t="s">
        <v>378</v>
      </c>
      <c r="D47" s="33" t="s">
        <v>379</v>
      </c>
      <c r="E47" t="s">
        <v>380</v>
      </c>
      <c r="F47" t="s">
        <v>381</v>
      </c>
      <c r="G47" s="2">
        <v>45357</v>
      </c>
      <c r="H47">
        <f>COUNTIF(Rendelések!$H$2:$H$188,Ügyfelek!B47)</f>
        <v>2</v>
      </c>
      <c r="I47">
        <f>SUMIF(Rendelések!H47:H233,Ügyfelek!B47,Rendelések!C47:C233)</f>
        <v>7</v>
      </c>
      <c r="J47" t="str">
        <f t="shared" si="0"/>
        <v>Visszatérő Vásárló</v>
      </c>
      <c r="K47" s="25">
        <f>SUMIF(Rendelések!H47:H233,Ügyfelek!B47,Rendelések!D47:D233)</f>
        <v>501663</v>
      </c>
    </row>
    <row r="48" spans="1:11" ht="15">
      <c r="A48" s="32" t="s">
        <v>382</v>
      </c>
      <c r="B48" t="s">
        <v>107</v>
      </c>
      <c r="C48" t="s">
        <v>383</v>
      </c>
      <c r="D48" t="s">
        <v>384</v>
      </c>
      <c r="E48" t="s">
        <v>227</v>
      </c>
      <c r="F48" t="s">
        <v>295</v>
      </c>
      <c r="G48" s="2">
        <v>44529</v>
      </c>
      <c r="H48">
        <f>COUNTIF(Rendelések!$H$2:$H$188,Ügyfelek!B48)</f>
        <v>1</v>
      </c>
      <c r="I48">
        <f>SUMIF(Rendelések!H48:H234,Ügyfelek!B48,Rendelések!C48:C234)</f>
        <v>3</v>
      </c>
      <c r="J48" t="str">
        <f t="shared" si="0"/>
        <v>Egyszeri Vásárló</v>
      </c>
      <c r="K48" s="25">
        <f>SUMIF(Rendelések!H48:H234,Ügyfelek!B48,Rendelések!D48:D234)</f>
        <v>293583</v>
      </c>
    </row>
    <row r="49" spans="1:11" ht="15">
      <c r="A49" s="32" t="s">
        <v>385</v>
      </c>
      <c r="B49" t="s">
        <v>108</v>
      </c>
      <c r="C49" t="s">
        <v>386</v>
      </c>
      <c r="D49" t="s">
        <v>387</v>
      </c>
      <c r="E49" t="s">
        <v>227</v>
      </c>
      <c r="F49" t="s">
        <v>245</v>
      </c>
      <c r="G49" s="2">
        <v>44725</v>
      </c>
      <c r="H49">
        <f>COUNTIF(Rendelések!$H$2:$H$188,Ügyfelek!B49)</f>
        <v>2</v>
      </c>
      <c r="I49">
        <f>SUMIF(Rendelések!H49:H235,Ügyfelek!B49,Rendelések!C49:C235)</f>
        <v>6</v>
      </c>
      <c r="J49" t="str">
        <f t="shared" si="0"/>
        <v>Visszatérő Vásárló</v>
      </c>
      <c r="K49" s="25">
        <f>SUMIF(Rendelések!H49:H235,Ügyfelek!B49,Rendelések!D49:D235)</f>
        <v>473310</v>
      </c>
    </row>
    <row r="50" spans="1:11" ht="15">
      <c r="A50" s="32" t="s">
        <v>388</v>
      </c>
      <c r="B50" t="s">
        <v>109</v>
      </c>
      <c r="C50" t="s">
        <v>389</v>
      </c>
      <c r="D50" t="s">
        <v>390</v>
      </c>
      <c r="E50" t="s">
        <v>227</v>
      </c>
      <c r="F50" t="s">
        <v>228</v>
      </c>
      <c r="G50" s="2">
        <v>45889</v>
      </c>
      <c r="H50">
        <f>COUNTIF(Rendelések!$H$2:$H$188,Ügyfelek!B50)</f>
        <v>1</v>
      </c>
      <c r="I50">
        <f>SUMIF(Rendelések!H50:H236,Ügyfelek!B50,Rendelések!C50:C236)</f>
        <v>1</v>
      </c>
      <c r="J50" t="str">
        <f t="shared" si="0"/>
        <v>Egyszeri Vásárló</v>
      </c>
      <c r="K50" s="25">
        <f>SUMIF(Rendelések!H50:H236,Ügyfelek!B50,Rendelések!D50:D236)</f>
        <v>85731</v>
      </c>
    </row>
    <row r="51" spans="1:11" ht="15">
      <c r="A51" s="32" t="s">
        <v>391</v>
      </c>
      <c r="B51" t="s">
        <v>110</v>
      </c>
      <c r="C51" t="s">
        <v>392</v>
      </c>
      <c r="D51" t="s">
        <v>393</v>
      </c>
      <c r="E51" t="s">
        <v>227</v>
      </c>
      <c r="F51" t="s">
        <v>236</v>
      </c>
      <c r="G51" s="2">
        <v>43960</v>
      </c>
      <c r="H51">
        <f>COUNTIF(Rendelések!$H$2:$H$188,Ügyfelek!B51)</f>
        <v>1</v>
      </c>
      <c r="I51">
        <f>SUMIF(Rendelések!H51:H237,Ügyfelek!B51,Rendelések!C51:C237)</f>
        <v>3</v>
      </c>
      <c r="J51" t="str">
        <f t="shared" si="0"/>
        <v>Egyszeri Vásárló</v>
      </c>
      <c r="K51" s="25">
        <f>SUMIF(Rendelések!H51:H237,Ügyfelek!B51,Rendelések!D51:D237)</f>
        <v>154020</v>
      </c>
    </row>
    <row r="52" spans="1:11" ht="15">
      <c r="A52" s="32" t="s">
        <v>394</v>
      </c>
      <c r="B52" t="s">
        <v>111</v>
      </c>
      <c r="C52" t="s">
        <v>395</v>
      </c>
      <c r="D52" s="33" t="s">
        <v>396</v>
      </c>
      <c r="E52" t="s">
        <v>281</v>
      </c>
      <c r="F52" t="s">
        <v>397</v>
      </c>
      <c r="G52" s="2">
        <v>44975</v>
      </c>
      <c r="H52">
        <f>COUNTIF(Rendelések!$H$2:$H$188,Ügyfelek!B52)</f>
        <v>1</v>
      </c>
      <c r="I52">
        <f>SUMIF(Rendelések!H52:H238,Ügyfelek!B52,Rendelések!C52:C238)</f>
        <v>1</v>
      </c>
      <c r="J52" t="str">
        <f t="shared" si="0"/>
        <v>Egyszeri Vásárló</v>
      </c>
      <c r="K52" s="25">
        <f>SUMIF(Rendelések!H52:H238,Ügyfelek!B52,Rendelések!D52:D238)</f>
        <v>86474</v>
      </c>
    </row>
    <row r="53" spans="1:11" ht="15">
      <c r="A53" s="32" t="s">
        <v>398</v>
      </c>
      <c r="B53" t="s">
        <v>112</v>
      </c>
      <c r="C53" t="s">
        <v>399</v>
      </c>
      <c r="D53" t="s">
        <v>400</v>
      </c>
      <c r="E53" t="s">
        <v>227</v>
      </c>
      <c r="F53" t="s">
        <v>236</v>
      </c>
      <c r="G53" s="2">
        <v>45542</v>
      </c>
      <c r="H53">
        <f>COUNTIF(Rendelések!$H$2:$H$188,Ügyfelek!B53)</f>
        <v>1</v>
      </c>
      <c r="I53">
        <f>SUMIF(Rendelések!H53:H239,Ügyfelek!B53,Rendelések!C53:C239)</f>
        <v>5</v>
      </c>
      <c r="J53" t="str">
        <f t="shared" si="0"/>
        <v>Egyszeri Vásárló</v>
      </c>
      <c r="K53" s="25">
        <f>SUMIF(Rendelések!H53:H239,Ügyfelek!B53,Rendelések!D53:D239)</f>
        <v>311700</v>
      </c>
    </row>
    <row r="54" spans="1:11" ht="15">
      <c r="A54" s="32" t="s">
        <v>401</v>
      </c>
      <c r="B54" t="s">
        <v>113</v>
      </c>
      <c r="C54" t="s">
        <v>402</v>
      </c>
      <c r="D54" t="s">
        <v>403</v>
      </c>
      <c r="E54" t="s">
        <v>227</v>
      </c>
      <c r="F54" t="s">
        <v>249</v>
      </c>
      <c r="G54" s="2">
        <v>44432</v>
      </c>
      <c r="H54">
        <f>COUNTIF(Rendelések!$H$2:$H$188,Ügyfelek!B54)</f>
        <v>1</v>
      </c>
      <c r="I54">
        <f>SUMIF(Rendelések!H54:H240,Ügyfelek!B54,Rendelések!C54:C240)</f>
        <v>4</v>
      </c>
      <c r="J54" t="str">
        <f t="shared" si="0"/>
        <v>Egyszeri Vásárló</v>
      </c>
      <c r="K54" s="25">
        <f>SUMIF(Rendelések!H54:H240,Ügyfelek!B54,Rendelések!D54:D240)</f>
        <v>210016</v>
      </c>
    </row>
    <row r="55" spans="1:11" ht="15">
      <c r="A55" s="32" t="s">
        <v>404</v>
      </c>
      <c r="B55" t="s">
        <v>114</v>
      </c>
      <c r="C55" t="s">
        <v>405</v>
      </c>
      <c r="D55" t="s">
        <v>406</v>
      </c>
      <c r="E55" t="s">
        <v>227</v>
      </c>
      <c r="F55" t="s">
        <v>295</v>
      </c>
      <c r="G55" s="2">
        <v>44925</v>
      </c>
      <c r="H55">
        <f>COUNTIF(Rendelések!$H$2:$H$188,Ügyfelek!B55)</f>
        <v>1</v>
      </c>
      <c r="I55">
        <f>SUMIF(Rendelések!H55:H241,Ügyfelek!B55,Rendelések!C55:C241)</f>
        <v>2</v>
      </c>
      <c r="J55" t="str">
        <f t="shared" si="0"/>
        <v>Egyszeri Vásárló</v>
      </c>
      <c r="K55" s="25">
        <f>SUMIF(Rendelések!H55:H241,Ügyfelek!B55,Rendelések!D55:D241)</f>
        <v>189448</v>
      </c>
    </row>
    <row r="56" spans="1:11" ht="15">
      <c r="A56" s="32" t="s">
        <v>407</v>
      </c>
      <c r="B56" t="s">
        <v>115</v>
      </c>
      <c r="C56" t="s">
        <v>408</v>
      </c>
      <c r="D56" t="s">
        <v>409</v>
      </c>
      <c r="E56" t="s">
        <v>227</v>
      </c>
      <c r="F56" t="s">
        <v>249</v>
      </c>
      <c r="G56" s="2">
        <v>45758</v>
      </c>
      <c r="H56">
        <f>COUNTIF(Rendelések!$H$2:$H$188,Ügyfelek!B56)</f>
        <v>1</v>
      </c>
      <c r="I56">
        <f>SUMIF(Rendelések!H56:H242,Ügyfelek!B56,Rendelések!C56:C242)</f>
        <v>1</v>
      </c>
      <c r="J56" t="str">
        <f t="shared" si="0"/>
        <v>Egyszeri Vásárló</v>
      </c>
      <c r="K56" s="25">
        <f>SUMIF(Rendelések!H56:H242,Ügyfelek!B56,Rendelések!D56:D242)</f>
        <v>80751</v>
      </c>
    </row>
    <row r="57" spans="1:11" ht="15">
      <c r="A57" s="32" t="s">
        <v>410</v>
      </c>
      <c r="B57" t="s">
        <v>116</v>
      </c>
      <c r="C57" t="s">
        <v>411</v>
      </c>
      <c r="D57" t="s">
        <v>412</v>
      </c>
      <c r="E57" t="s">
        <v>227</v>
      </c>
      <c r="F57" t="s">
        <v>295</v>
      </c>
      <c r="G57" s="2">
        <v>43904</v>
      </c>
      <c r="H57">
        <f>COUNTIF(Rendelések!$H$2:$H$188,Ügyfelek!B57)</f>
        <v>1</v>
      </c>
      <c r="I57">
        <f>SUMIF(Rendelések!H57:H243,Ügyfelek!B57,Rendelések!C57:C243)</f>
        <v>1</v>
      </c>
      <c r="J57" t="str">
        <f t="shared" si="0"/>
        <v>Egyszeri Vásárló</v>
      </c>
      <c r="K57" s="25">
        <f>SUMIF(Rendelések!H57:H243,Ügyfelek!B57,Rendelések!D57:D243)</f>
        <v>74578</v>
      </c>
    </row>
    <row r="58" spans="1:11" ht="15">
      <c r="A58" s="32" t="s">
        <v>413</v>
      </c>
      <c r="B58" t="s">
        <v>117</v>
      </c>
      <c r="C58" t="s">
        <v>414</v>
      </c>
      <c r="D58" s="33" t="s">
        <v>415</v>
      </c>
      <c r="E58" t="s">
        <v>380</v>
      </c>
      <c r="F58" t="s">
        <v>416</v>
      </c>
      <c r="G58" s="2">
        <v>45112</v>
      </c>
      <c r="H58">
        <f>COUNTIF(Rendelések!$H$2:$H$188,Ügyfelek!B58)</f>
        <v>3</v>
      </c>
      <c r="I58">
        <f>SUMIF(Rendelések!H58:H244,Ügyfelek!B58,Rendelések!C58:C244)</f>
        <v>3</v>
      </c>
      <c r="J58" t="str">
        <f t="shared" si="0"/>
        <v>VIP</v>
      </c>
      <c r="K58" s="25">
        <f>SUMIF(Rendelések!H58:H244,Ügyfelek!B58,Rendelések!D58:D244)</f>
        <v>221827</v>
      </c>
    </row>
    <row r="59" spans="1:11" ht="15">
      <c r="A59" s="32" t="s">
        <v>417</v>
      </c>
      <c r="B59" t="s">
        <v>118</v>
      </c>
      <c r="C59" t="s">
        <v>418</v>
      </c>
      <c r="D59" s="33" t="s">
        <v>419</v>
      </c>
      <c r="E59" t="s">
        <v>323</v>
      </c>
      <c r="F59" t="s">
        <v>420</v>
      </c>
      <c r="G59" s="2">
        <v>45581</v>
      </c>
      <c r="H59">
        <f>COUNTIF(Rendelések!$H$2:$H$188,Ügyfelek!B59)</f>
        <v>2</v>
      </c>
      <c r="I59">
        <f>SUMIF(Rendelések!H59:H245,Ügyfelek!B59,Rendelések!C59:C245)</f>
        <v>6</v>
      </c>
      <c r="J59" t="str">
        <f t="shared" si="0"/>
        <v>Visszatérő Vásárló</v>
      </c>
      <c r="K59" s="25">
        <f>SUMIF(Rendelések!H59:H245,Ügyfelek!B59,Rendelések!D59:D245)</f>
        <v>524238</v>
      </c>
    </row>
    <row r="60" spans="1:11" ht="15">
      <c r="A60" s="32" t="s">
        <v>421</v>
      </c>
      <c r="B60" t="s">
        <v>119</v>
      </c>
      <c r="C60" t="s">
        <v>422</v>
      </c>
      <c r="D60" t="s">
        <v>423</v>
      </c>
      <c r="E60" t="s">
        <v>227</v>
      </c>
      <c r="F60" t="s">
        <v>245</v>
      </c>
      <c r="G60" s="2">
        <v>44249</v>
      </c>
      <c r="H60">
        <f>COUNTIF(Rendelések!$H$2:$H$188,Ügyfelek!B60)</f>
        <v>2</v>
      </c>
      <c r="I60">
        <f>SUMIF(Rendelések!H60:H246,Ügyfelek!B60,Rendelések!C60:C246)</f>
        <v>5</v>
      </c>
      <c r="J60" t="str">
        <f t="shared" si="0"/>
        <v>Visszatérő Vásárló</v>
      </c>
      <c r="K60" s="25">
        <f>SUMIF(Rendelések!H60:H246,Ügyfelek!B60,Rendelések!D60:D246)</f>
        <v>306648</v>
      </c>
    </row>
    <row r="61" spans="1:11" ht="15">
      <c r="A61" s="32" t="s">
        <v>424</v>
      </c>
      <c r="B61" t="s">
        <v>120</v>
      </c>
      <c r="C61" t="s">
        <v>425</v>
      </c>
      <c r="D61" t="s">
        <v>426</v>
      </c>
      <c r="E61" t="s">
        <v>227</v>
      </c>
      <c r="F61" t="s">
        <v>245</v>
      </c>
      <c r="G61" s="2">
        <v>44868</v>
      </c>
      <c r="H61">
        <f>COUNTIF(Rendelések!$H$2:$H$188,Ügyfelek!B61)</f>
        <v>2</v>
      </c>
      <c r="I61">
        <f>SUMIF(Rendelések!H61:H247,Ügyfelek!B61,Rendelések!C61:C247)</f>
        <v>2</v>
      </c>
      <c r="J61" t="str">
        <f t="shared" si="0"/>
        <v>Visszatérő Vásárló</v>
      </c>
      <c r="K61" s="25">
        <f>SUMIF(Rendelések!H61:H247,Ügyfelek!B61,Rendelések!D61:D247)</f>
        <v>188971</v>
      </c>
    </row>
    <row r="62" spans="1:11" ht="15">
      <c r="A62" s="32" t="s">
        <v>427</v>
      </c>
      <c r="B62" t="s">
        <v>121</v>
      </c>
      <c r="C62" t="s">
        <v>428</v>
      </c>
      <c r="D62" t="s">
        <v>429</v>
      </c>
      <c r="E62" t="s">
        <v>227</v>
      </c>
      <c r="F62" t="s">
        <v>228</v>
      </c>
      <c r="G62" s="2">
        <v>45958</v>
      </c>
      <c r="H62">
        <f>COUNTIF(Rendelések!$H$2:$H$188,Ügyfelek!B62)</f>
        <v>1</v>
      </c>
      <c r="I62">
        <f>SUMIF(Rendelések!H62:H248,Ügyfelek!B62,Rendelések!C62:C248)</f>
        <v>3</v>
      </c>
      <c r="J62" t="str">
        <f t="shared" si="0"/>
        <v>Egyszeri Vásárló</v>
      </c>
      <c r="K62" s="25">
        <f>SUMIF(Rendelések!H62:H248,Ügyfelek!B62,Rendelések!D62:D248)</f>
        <v>266838</v>
      </c>
    </row>
    <row r="63" spans="1:11" ht="15">
      <c r="A63" s="32" t="s">
        <v>430</v>
      </c>
      <c r="B63" t="s">
        <v>122</v>
      </c>
      <c r="C63" t="s">
        <v>431</v>
      </c>
      <c r="D63" t="s">
        <v>432</v>
      </c>
      <c r="E63" t="s">
        <v>227</v>
      </c>
      <c r="F63" t="s">
        <v>268</v>
      </c>
      <c r="G63" s="2">
        <v>44075</v>
      </c>
      <c r="H63">
        <f>COUNTIF(Rendelések!$H$2:$H$188,Ügyfelek!B63)</f>
        <v>1</v>
      </c>
      <c r="I63">
        <f>SUMIF(Rendelések!H63:H249,Ügyfelek!B63,Rendelések!C63:C249)</f>
        <v>5</v>
      </c>
      <c r="J63" t="str">
        <f t="shared" si="0"/>
        <v>Egyszeri Vásárló</v>
      </c>
      <c r="K63" s="25">
        <f>SUMIF(Rendelések!H63:H249,Ügyfelek!B63,Rendelések!D63:D249)</f>
        <v>429205</v>
      </c>
    </row>
    <row r="64" spans="1:11" ht="15">
      <c r="A64" s="32" t="s">
        <v>433</v>
      </c>
      <c r="B64" t="s">
        <v>123</v>
      </c>
      <c r="C64" t="s">
        <v>434</v>
      </c>
      <c r="D64" t="s">
        <v>435</v>
      </c>
      <c r="E64" t="s">
        <v>227</v>
      </c>
      <c r="F64" t="s">
        <v>236</v>
      </c>
      <c r="G64" s="2">
        <v>45066</v>
      </c>
      <c r="H64">
        <f>COUNTIF(Rendelések!$H$2:$H$188,Ügyfelek!B64)</f>
        <v>2</v>
      </c>
      <c r="I64">
        <f>SUMIF(Rendelések!H64:H250,Ügyfelek!B64,Rendelések!C64:C250)</f>
        <v>5</v>
      </c>
      <c r="J64" t="str">
        <f t="shared" si="0"/>
        <v>Visszatérő Vásárló</v>
      </c>
      <c r="K64" s="25">
        <f>SUMIF(Rendelések!H64:H250,Ügyfelek!B64,Rendelések!D64:D250)</f>
        <v>426549</v>
      </c>
    </row>
    <row r="65" spans="1:11" ht="15">
      <c r="A65" s="32" t="s">
        <v>436</v>
      </c>
      <c r="B65" t="s">
        <v>124</v>
      </c>
      <c r="C65" t="s">
        <v>437</v>
      </c>
      <c r="D65" t="s">
        <v>438</v>
      </c>
      <c r="E65" t="s">
        <v>227</v>
      </c>
      <c r="F65" t="s">
        <v>268</v>
      </c>
      <c r="G65" s="2">
        <v>45634</v>
      </c>
      <c r="H65">
        <f>COUNTIF(Rendelések!$H$2:$H$188,Ügyfelek!B65)</f>
        <v>1</v>
      </c>
      <c r="I65">
        <f>SUMIF(Rendelések!H65:H251,Ügyfelek!B65,Rendelések!C65:C251)</f>
        <v>3</v>
      </c>
      <c r="J65" t="str">
        <f t="shared" si="0"/>
        <v>Egyszeri Vásárló</v>
      </c>
      <c r="K65" s="25">
        <f>SUMIF(Rendelések!H65:H251,Ügyfelek!B65,Rendelések!D65:D251)</f>
        <v>264381</v>
      </c>
    </row>
    <row r="66" spans="1:11" ht="15">
      <c r="A66" s="32" t="s">
        <v>439</v>
      </c>
      <c r="B66" t="s">
        <v>125</v>
      </c>
      <c r="C66" t="s">
        <v>440</v>
      </c>
      <c r="D66" s="34" t="s">
        <v>441</v>
      </c>
      <c r="E66" t="s">
        <v>281</v>
      </c>
      <c r="F66" t="s">
        <v>442</v>
      </c>
      <c r="G66" s="2">
        <v>44404</v>
      </c>
      <c r="H66">
        <f>COUNTIF(Rendelések!$H$2:$H$188,Ügyfelek!B66)</f>
        <v>3</v>
      </c>
      <c r="I66">
        <f>SUMIF(Rendelések!H66:H252,Ügyfelek!B66,Rendelések!C66:C252)</f>
        <v>9</v>
      </c>
      <c r="J66" t="str">
        <f t="shared" si="0"/>
        <v>VIP</v>
      </c>
      <c r="K66" s="25">
        <f>SUMIF(Rendelések!H66:H252,Ügyfelek!B66,Rendelések!D66:D252)</f>
        <v>675036</v>
      </c>
    </row>
    <row r="67" spans="1:11" ht="15">
      <c r="A67" s="32" t="s">
        <v>443</v>
      </c>
      <c r="B67" t="s">
        <v>126</v>
      </c>
      <c r="C67" t="s">
        <v>444</v>
      </c>
      <c r="D67" t="s">
        <v>445</v>
      </c>
      <c r="E67" t="s">
        <v>227</v>
      </c>
      <c r="F67" t="s">
        <v>249</v>
      </c>
      <c r="G67" s="2">
        <v>44665</v>
      </c>
      <c r="H67">
        <f>COUNTIF(Rendelések!$H$2:$H$188,Ügyfelek!B67)</f>
        <v>1</v>
      </c>
      <c r="I67">
        <f>SUMIF(Rendelések!H67:H253,Ügyfelek!B67,Rendelések!C67:C253)</f>
        <v>2</v>
      </c>
      <c r="J67" t="str">
        <f t="shared" ref="J67:J130" si="1">IF(H67=1,"Egyszeri Vásárló",IF(H67=2,"Visszatérő Vásárló",IF(H67&gt;=3,"VIP")))</f>
        <v>Egyszeri Vásárló</v>
      </c>
      <c r="K67" s="25">
        <f>SUMIF(Rendelések!H67:H253,Ügyfelek!B67,Rendelések!D67:D253)</f>
        <v>122070</v>
      </c>
    </row>
    <row r="68" spans="1:11" ht="15">
      <c r="A68" s="32" t="s">
        <v>446</v>
      </c>
      <c r="B68" t="s">
        <v>127</v>
      </c>
      <c r="C68" t="s">
        <v>447</v>
      </c>
      <c r="D68" t="s">
        <v>448</v>
      </c>
      <c r="E68" t="s">
        <v>227</v>
      </c>
      <c r="F68" t="s">
        <v>249</v>
      </c>
      <c r="G68" s="2">
        <v>44012</v>
      </c>
      <c r="H68">
        <f>COUNTIF(Rendelések!$H$2:$H$188,Ügyfelek!B68)</f>
        <v>1</v>
      </c>
      <c r="I68">
        <f>SUMIF(Rendelések!H68:H254,Ügyfelek!B68,Rendelések!C68:C254)</f>
        <v>1</v>
      </c>
      <c r="J68" t="str">
        <f t="shared" si="1"/>
        <v>Egyszeri Vásárló</v>
      </c>
      <c r="K68" s="25">
        <f>SUMIF(Rendelések!H68:H254,Ügyfelek!B68,Rendelések!D68:D254)</f>
        <v>96782</v>
      </c>
    </row>
    <row r="69" spans="1:11" ht="15">
      <c r="A69" s="32" t="s">
        <v>449</v>
      </c>
      <c r="B69" t="s">
        <v>128</v>
      </c>
      <c r="C69" t="s">
        <v>450</v>
      </c>
      <c r="D69" t="s">
        <v>451</v>
      </c>
      <c r="E69" t="s">
        <v>227</v>
      </c>
      <c r="F69" t="s">
        <v>268</v>
      </c>
      <c r="G69" s="2">
        <v>45181</v>
      </c>
      <c r="H69">
        <f>COUNTIF(Rendelések!$H$2:$H$188,Ügyfelek!B69)</f>
        <v>1</v>
      </c>
      <c r="I69">
        <f>SUMIF(Rendelések!H69:H255,Ügyfelek!B69,Rendelések!C69:C255)</f>
        <v>4</v>
      </c>
      <c r="J69" t="str">
        <f t="shared" si="1"/>
        <v>Egyszeri Vásárló</v>
      </c>
      <c r="K69" s="25">
        <f>SUMIF(Rendelések!H69:H255,Ügyfelek!B69,Rendelések!D69:D255)</f>
        <v>210016</v>
      </c>
    </row>
    <row r="70" spans="1:11" ht="15">
      <c r="A70" s="32" t="s">
        <v>452</v>
      </c>
      <c r="B70" t="s">
        <v>129</v>
      </c>
      <c r="C70" t="s">
        <v>453</v>
      </c>
      <c r="D70" t="s">
        <v>454</v>
      </c>
      <c r="E70" t="s">
        <v>227</v>
      </c>
      <c r="F70" t="s">
        <v>228</v>
      </c>
      <c r="G70" s="2">
        <v>45474</v>
      </c>
      <c r="H70">
        <f>COUNTIF(Rendelések!$H$2:$H$188,Ügyfelek!B70)</f>
        <v>1</v>
      </c>
      <c r="I70">
        <f>SUMIF(Rendelések!H70:H256,Ügyfelek!B70,Rendelések!C70:C256)</f>
        <v>3</v>
      </c>
      <c r="J70" t="str">
        <f t="shared" si="1"/>
        <v>Egyszeri Vásárló</v>
      </c>
      <c r="K70" s="25">
        <f>SUMIF(Rendelések!H70:H256,Ügyfelek!B70,Rendelések!D70:D256)</f>
        <v>213888</v>
      </c>
    </row>
    <row r="71" spans="1:11" ht="15">
      <c r="A71" s="32" t="s">
        <v>455</v>
      </c>
      <c r="B71" t="s">
        <v>130</v>
      </c>
      <c r="C71" t="s">
        <v>456</v>
      </c>
      <c r="D71" t="s">
        <v>457</v>
      </c>
      <c r="E71" t="s">
        <v>227</v>
      </c>
      <c r="F71" t="s">
        <v>236</v>
      </c>
      <c r="G71" s="2">
        <v>44549</v>
      </c>
      <c r="H71">
        <f>COUNTIF(Rendelések!$H$2:$H$188,Ügyfelek!B71)</f>
        <v>1</v>
      </c>
      <c r="I71">
        <f>SUMIF(Rendelések!H71:H257,Ügyfelek!B71,Rendelések!C71:C257)</f>
        <v>1</v>
      </c>
      <c r="J71" t="str">
        <f t="shared" si="1"/>
        <v>Egyszeri Vásárló</v>
      </c>
      <c r="K71" s="25">
        <f>SUMIF(Rendelések!H71:H257,Ügyfelek!B71,Rendelések!D71:D257)</f>
        <v>51340</v>
      </c>
    </row>
    <row r="72" spans="1:11" ht="15">
      <c r="A72" s="32" t="s">
        <v>458</v>
      </c>
      <c r="B72" t="s">
        <v>131</v>
      </c>
      <c r="C72" t="s">
        <v>459</v>
      </c>
      <c r="D72" t="s">
        <v>460</v>
      </c>
      <c r="E72" t="s">
        <v>227</v>
      </c>
      <c r="F72" t="s">
        <v>249</v>
      </c>
      <c r="G72" s="2">
        <v>44599</v>
      </c>
      <c r="H72">
        <f>COUNTIF(Rendelések!$H$2:$H$188,Ügyfelek!B72)</f>
        <v>1</v>
      </c>
      <c r="I72">
        <f>SUMIF(Rendelések!H72:H258,Ügyfelek!B72,Rendelések!C72:C258)</f>
        <v>2</v>
      </c>
      <c r="J72" t="str">
        <f t="shared" si="1"/>
        <v>Egyszeri Vásárló</v>
      </c>
      <c r="K72" s="25">
        <f>SUMIF(Rendelések!H72:H258,Ügyfelek!B72,Rendelések!D72:D258)</f>
        <v>124680</v>
      </c>
    </row>
    <row r="73" spans="1:11" ht="15">
      <c r="A73" s="32" t="s">
        <v>461</v>
      </c>
      <c r="B73" t="s">
        <v>132</v>
      </c>
      <c r="C73" t="s">
        <v>462</v>
      </c>
      <c r="D73" t="s">
        <v>463</v>
      </c>
      <c r="E73" t="s">
        <v>227</v>
      </c>
      <c r="F73" t="s">
        <v>228</v>
      </c>
      <c r="G73" s="2">
        <v>45976</v>
      </c>
      <c r="H73">
        <f>COUNTIF(Rendelések!$H$2:$H$188,Ügyfelek!B73)</f>
        <v>1</v>
      </c>
      <c r="I73">
        <f>SUMIF(Rendelések!H73:H259,Ügyfelek!B73,Rendelések!C73:C259)</f>
        <v>3</v>
      </c>
      <c r="J73" t="str">
        <f t="shared" si="1"/>
        <v>Egyszeri Vásárló</v>
      </c>
      <c r="K73" s="25">
        <f>SUMIF(Rendelések!H73:H259,Ügyfelek!B73,Rendelések!D73:D259)</f>
        <v>223734</v>
      </c>
    </row>
    <row r="74" spans="1:11" ht="15">
      <c r="A74" s="32" t="s">
        <v>464</v>
      </c>
      <c r="B74" t="s">
        <v>133</v>
      </c>
      <c r="C74" t="s">
        <v>465</v>
      </c>
      <c r="D74" t="s">
        <v>466</v>
      </c>
      <c r="E74" t="s">
        <v>227</v>
      </c>
      <c r="F74" t="s">
        <v>249</v>
      </c>
      <c r="G74" s="2">
        <v>44071</v>
      </c>
      <c r="H74">
        <f>COUNTIF(Rendelések!$H$2:$H$188,Ügyfelek!B74)</f>
        <v>1</v>
      </c>
      <c r="I74">
        <f>SUMIF(Rendelések!H74:H260,Ügyfelek!B74,Rendelések!C74:C260)</f>
        <v>1</v>
      </c>
      <c r="J74" t="str">
        <f t="shared" si="1"/>
        <v>Egyszeri Vásárló</v>
      </c>
      <c r="K74" s="25">
        <f>SUMIF(Rendelések!H74:H260,Ügyfelek!B74,Rendelések!D74:D260)</f>
        <v>80499</v>
      </c>
    </row>
    <row r="75" spans="1:11" ht="15">
      <c r="A75" s="32" t="s">
        <v>467</v>
      </c>
      <c r="B75" t="s">
        <v>134</v>
      </c>
      <c r="C75" t="s">
        <v>468</v>
      </c>
      <c r="D75" t="s">
        <v>469</v>
      </c>
      <c r="E75" t="s">
        <v>227</v>
      </c>
      <c r="F75" t="s">
        <v>268</v>
      </c>
      <c r="G75" s="2">
        <v>44935</v>
      </c>
      <c r="H75">
        <f>COUNTIF(Rendelések!$H$2:$H$188,Ügyfelek!B75)</f>
        <v>1</v>
      </c>
      <c r="I75">
        <f>SUMIF(Rendelések!H75:H261,Ügyfelek!B75,Rendelések!C75:C261)</f>
        <v>2</v>
      </c>
      <c r="J75" t="str">
        <f t="shared" si="1"/>
        <v>Egyszeri Vásárló</v>
      </c>
      <c r="K75" s="25">
        <f>SUMIF(Rendelések!H75:H261,Ügyfelek!B75,Rendelések!D75:D261)</f>
        <v>198210</v>
      </c>
    </row>
    <row r="76" spans="1:11" ht="15">
      <c r="A76" s="32" t="s">
        <v>470</v>
      </c>
      <c r="B76" t="s">
        <v>135</v>
      </c>
      <c r="C76" t="s">
        <v>471</v>
      </c>
      <c r="D76" t="s">
        <v>472</v>
      </c>
      <c r="E76" t="s">
        <v>227</v>
      </c>
      <c r="F76" t="s">
        <v>245</v>
      </c>
      <c r="G76" s="2">
        <v>45400</v>
      </c>
      <c r="H76">
        <f>COUNTIF(Rendelések!$H$2:$H$188,Ügyfelek!B76)</f>
        <v>2</v>
      </c>
      <c r="I76">
        <f>SUMIF(Rendelések!H76:H262,Ügyfelek!B76,Rendelések!C76:C262)</f>
        <v>5</v>
      </c>
      <c r="J76" t="str">
        <f t="shared" si="1"/>
        <v>Visszatérő Vásárló</v>
      </c>
      <c r="K76" s="25">
        <f>SUMIF(Rendelések!H76:H262,Ügyfelek!B76,Rendelések!D76:D262)</f>
        <v>307676</v>
      </c>
    </row>
    <row r="77" spans="1:11" ht="15">
      <c r="A77" s="32" t="s">
        <v>473</v>
      </c>
      <c r="B77" t="s">
        <v>136</v>
      </c>
      <c r="C77" t="s">
        <v>474</v>
      </c>
      <c r="D77" t="s">
        <v>475</v>
      </c>
      <c r="E77" t="s">
        <v>343</v>
      </c>
      <c r="F77" t="s">
        <v>476</v>
      </c>
      <c r="G77" s="2">
        <v>44492</v>
      </c>
      <c r="H77">
        <f>COUNTIF(Rendelések!$H$2:$H$188,Ügyfelek!B77)</f>
        <v>2</v>
      </c>
      <c r="I77">
        <f>SUMIF(Rendelések!H77:H263,Ügyfelek!B77,Rendelések!C77:C263)</f>
        <v>5</v>
      </c>
      <c r="J77" t="str">
        <f t="shared" si="1"/>
        <v>Visszatérő Vásárló</v>
      </c>
      <c r="K77" s="25">
        <f>SUMIF(Rendelések!H77:H263,Ügyfelek!B77,Rendelések!D77:D263)</f>
        <v>460633</v>
      </c>
    </row>
    <row r="78" spans="1:11" ht="15">
      <c r="A78" s="32" t="s">
        <v>477</v>
      </c>
      <c r="B78" t="s">
        <v>137</v>
      </c>
      <c r="C78" t="s">
        <v>478</v>
      </c>
      <c r="D78" t="s">
        <v>479</v>
      </c>
      <c r="E78" t="s">
        <v>227</v>
      </c>
      <c r="F78" t="s">
        <v>245</v>
      </c>
      <c r="G78" s="2">
        <v>44752</v>
      </c>
      <c r="H78">
        <f>COUNTIF(Rendelések!$H$2:$H$188,Ügyfelek!B78)</f>
        <v>1</v>
      </c>
      <c r="I78">
        <f>SUMIF(Rendelések!H78:H264,Ügyfelek!B78,Rendelések!C78:C264)</f>
        <v>4</v>
      </c>
      <c r="J78" t="str">
        <f t="shared" si="1"/>
        <v>Egyszeri Vásárló</v>
      </c>
      <c r="K78" s="25">
        <f>SUMIF(Rendelések!H78:H264,Ügyfelek!B78,Rendelések!D78:D264)</f>
        <v>376988</v>
      </c>
    </row>
    <row r="79" spans="1:11" ht="15">
      <c r="A79" s="32" t="s">
        <v>480</v>
      </c>
      <c r="B79" t="s">
        <v>138</v>
      </c>
      <c r="C79" t="s">
        <v>481</v>
      </c>
      <c r="D79" t="s">
        <v>482</v>
      </c>
      <c r="E79" t="s">
        <v>227</v>
      </c>
      <c r="F79" t="s">
        <v>245</v>
      </c>
      <c r="G79" s="2">
        <v>45745</v>
      </c>
      <c r="H79">
        <f>COUNTIF(Rendelések!$H$2:$H$188,Ügyfelek!B79)</f>
        <v>1</v>
      </c>
      <c r="I79">
        <f>SUMIF(Rendelések!H79:H265,Ügyfelek!B79,Rendelések!C79:C265)</f>
        <v>3</v>
      </c>
      <c r="J79" t="str">
        <f t="shared" si="1"/>
        <v>Egyszeri Vásárló</v>
      </c>
      <c r="K79" s="25">
        <f>SUMIF(Rendelések!H79:H265,Ügyfelek!B79,Rendelések!D79:D265)</f>
        <v>176124</v>
      </c>
    </row>
    <row r="80" spans="1:11" ht="15">
      <c r="A80" s="32" t="s">
        <v>483</v>
      </c>
      <c r="B80" t="s">
        <v>139</v>
      </c>
      <c r="C80" t="s">
        <v>484</v>
      </c>
      <c r="D80" t="s">
        <v>485</v>
      </c>
      <c r="E80" t="s">
        <v>227</v>
      </c>
      <c r="F80" t="s">
        <v>249</v>
      </c>
      <c r="G80" s="2">
        <v>44152</v>
      </c>
      <c r="H80">
        <f>COUNTIF(Rendelések!$H$2:$H$188,Ügyfelek!B80)</f>
        <v>1</v>
      </c>
      <c r="I80">
        <f>SUMIF(Rendelések!H80:H266,Ügyfelek!B80,Rendelések!C80:C266)</f>
        <v>1</v>
      </c>
      <c r="J80" t="str">
        <f t="shared" si="1"/>
        <v>Egyszeri Vásárló</v>
      </c>
      <c r="K80" s="25">
        <f>SUMIF(Rendelések!H80:H266,Ügyfelek!B80,Rendelések!D80:D266)</f>
        <v>64014</v>
      </c>
    </row>
    <row r="81" spans="1:11" ht="15">
      <c r="A81" s="32" t="s">
        <v>486</v>
      </c>
      <c r="B81" t="s">
        <v>140</v>
      </c>
      <c r="C81" t="s">
        <v>487</v>
      </c>
      <c r="D81" t="s">
        <v>488</v>
      </c>
      <c r="E81" t="s">
        <v>227</v>
      </c>
      <c r="F81" t="s">
        <v>245</v>
      </c>
      <c r="G81" s="2">
        <v>45263</v>
      </c>
      <c r="H81">
        <f>COUNTIF(Rendelések!$H$2:$H$188,Ügyfelek!B81)</f>
        <v>1</v>
      </c>
      <c r="I81">
        <f>SUMIF(Rendelések!H81:H267,Ügyfelek!B81,Rendelések!C81:C267)</f>
        <v>2</v>
      </c>
      <c r="J81" t="str">
        <f t="shared" si="1"/>
        <v>Egyszeri Vásárló</v>
      </c>
      <c r="K81" s="25">
        <f>SUMIF(Rendelések!H81:H267,Ügyfelek!B81,Rendelések!D81:D267)</f>
        <v>176698</v>
      </c>
    </row>
    <row r="82" spans="1:11" ht="15">
      <c r="A82" s="32" t="s">
        <v>489</v>
      </c>
      <c r="B82" t="s">
        <v>141</v>
      </c>
      <c r="C82" t="s">
        <v>490</v>
      </c>
      <c r="D82" t="s">
        <v>491</v>
      </c>
      <c r="E82" t="s">
        <v>227</v>
      </c>
      <c r="F82" t="s">
        <v>245</v>
      </c>
      <c r="G82" s="2">
        <v>45316</v>
      </c>
      <c r="H82">
        <f>COUNTIF(Rendelések!$H$2:$H$188,Ügyfelek!B82)</f>
        <v>1</v>
      </c>
      <c r="I82">
        <f>SUMIF(Rendelések!H82:H268,Ügyfelek!B82,Rendelések!C82:C268)</f>
        <v>3</v>
      </c>
      <c r="J82" t="str">
        <f t="shared" si="1"/>
        <v>Egyszeri Vásárló</v>
      </c>
      <c r="K82" s="25">
        <f>SUMIF(Rendelések!H82:H268,Ügyfelek!B82,Rendelések!D82:D268)</f>
        <v>293583</v>
      </c>
    </row>
    <row r="83" spans="1:11" ht="15">
      <c r="A83" s="32" t="s">
        <v>492</v>
      </c>
      <c r="B83" t="s">
        <v>142</v>
      </c>
      <c r="C83" t="s">
        <v>493</v>
      </c>
      <c r="D83" t="s">
        <v>494</v>
      </c>
      <c r="E83" t="s">
        <v>227</v>
      </c>
      <c r="F83" t="s">
        <v>228</v>
      </c>
      <c r="G83" s="2">
        <v>44448</v>
      </c>
      <c r="H83">
        <f>COUNTIF(Rendelések!$H$2:$H$188,Ügyfelek!B83)</f>
        <v>1</v>
      </c>
      <c r="I83">
        <f>SUMIF(Rendelések!H83:H269,Ügyfelek!B83,Rendelések!C83:C269)</f>
        <v>1</v>
      </c>
      <c r="J83" t="str">
        <f t="shared" si="1"/>
        <v>Egyszeri Vásárló</v>
      </c>
      <c r="K83" s="25">
        <f>SUMIF(Rendelések!H83:H269,Ügyfelek!B83,Rendelések!D83:D269)</f>
        <v>52504</v>
      </c>
    </row>
    <row r="84" spans="1:11" ht="15">
      <c r="A84" s="32" t="s">
        <v>495</v>
      </c>
      <c r="B84" t="s">
        <v>143</v>
      </c>
      <c r="C84" t="s">
        <v>496</v>
      </c>
      <c r="D84" t="s">
        <v>497</v>
      </c>
      <c r="E84" t="s">
        <v>227</v>
      </c>
      <c r="F84" t="s">
        <v>236</v>
      </c>
      <c r="G84" s="2">
        <v>44708</v>
      </c>
      <c r="H84">
        <f>COUNTIF(Rendelések!$H$2:$H$188,Ügyfelek!B84)</f>
        <v>1</v>
      </c>
      <c r="I84">
        <f>SUMIF(Rendelések!H84:H270,Ügyfelek!B84,Rendelések!C84:C270)</f>
        <v>4</v>
      </c>
      <c r="J84" t="str">
        <f t="shared" si="1"/>
        <v>Egyszeri Vásárló</v>
      </c>
      <c r="K84" s="25">
        <f>SUMIF(Rendelések!H84:H270,Ügyfelek!B84,Rendelések!D84:D270)</f>
        <v>342924</v>
      </c>
    </row>
    <row r="85" spans="1:11" ht="15">
      <c r="A85" s="32" t="s">
        <v>498</v>
      </c>
      <c r="B85" t="s">
        <v>144</v>
      </c>
      <c r="C85" t="s">
        <v>499</v>
      </c>
      <c r="D85" t="s">
        <v>500</v>
      </c>
      <c r="E85" t="s">
        <v>227</v>
      </c>
      <c r="F85" t="s">
        <v>228</v>
      </c>
      <c r="G85" s="2">
        <v>45838</v>
      </c>
      <c r="H85">
        <f>COUNTIF(Rendelések!$H$2:$H$188,Ügyfelek!B85)</f>
        <v>1</v>
      </c>
      <c r="I85">
        <f>SUMIF(Rendelések!H85:H271,Ügyfelek!B85,Rendelések!C85:C271)</f>
        <v>3</v>
      </c>
      <c r="J85" t="str">
        <f t="shared" si="1"/>
        <v>Egyszeri Vásárló</v>
      </c>
      <c r="K85" s="25">
        <f>SUMIF(Rendelések!H85:H271,Ügyfelek!B85,Rendelések!D85:D271)</f>
        <v>154020</v>
      </c>
    </row>
    <row r="86" spans="1:11" ht="15">
      <c r="A86" s="32" t="s">
        <v>501</v>
      </c>
      <c r="B86" t="s">
        <v>145</v>
      </c>
      <c r="C86" t="s">
        <v>502</v>
      </c>
      <c r="D86" t="s">
        <v>503</v>
      </c>
      <c r="E86" t="s">
        <v>227</v>
      </c>
      <c r="F86" t="s">
        <v>295</v>
      </c>
      <c r="G86" s="2">
        <v>44026</v>
      </c>
      <c r="H86">
        <f>COUNTIF(Rendelések!$H$2:$H$188,Ügyfelek!B86)</f>
        <v>1</v>
      </c>
      <c r="I86">
        <f>SUMIF(Rendelések!H86:H272,Ügyfelek!B86,Rendelések!C86:C272)</f>
        <v>2</v>
      </c>
      <c r="J86" t="str">
        <f t="shared" si="1"/>
        <v>Egyszeri Vásárló</v>
      </c>
      <c r="K86" s="25">
        <f>SUMIF(Rendelések!H86:H272,Ügyfelek!B86,Rendelések!D86:D272)</f>
        <v>124680</v>
      </c>
    </row>
    <row r="87" spans="1:11" ht="15">
      <c r="A87" s="32" t="s">
        <v>504</v>
      </c>
      <c r="B87" t="s">
        <v>146</v>
      </c>
      <c r="C87" t="s">
        <v>505</v>
      </c>
      <c r="D87" t="s">
        <v>506</v>
      </c>
      <c r="E87" t="s">
        <v>227</v>
      </c>
      <c r="F87" t="s">
        <v>249</v>
      </c>
      <c r="G87" s="2">
        <v>45016</v>
      </c>
      <c r="H87">
        <f>COUNTIF(Rendelések!$H$2:$H$188,Ügyfelek!B87)</f>
        <v>2</v>
      </c>
      <c r="I87">
        <f>SUMIF(Rendelések!H87:H273,Ügyfelek!B87,Rendelések!C87:C273)</f>
        <v>4</v>
      </c>
      <c r="J87" t="str">
        <f t="shared" si="1"/>
        <v>Visszatérő Vásárló</v>
      </c>
      <c r="K87" s="25">
        <f>SUMIF(Rendelések!H87:H273,Ügyfelek!B87,Rendelések!D87:D273)</f>
        <v>311926</v>
      </c>
    </row>
    <row r="88" spans="1:11" ht="15">
      <c r="A88" s="32" t="s">
        <v>507</v>
      </c>
      <c r="B88" t="s">
        <v>147</v>
      </c>
      <c r="C88" t="s">
        <v>508</v>
      </c>
      <c r="D88" s="33" t="s">
        <v>509</v>
      </c>
      <c r="E88" t="s">
        <v>357</v>
      </c>
      <c r="F88" t="s">
        <v>510</v>
      </c>
      <c r="G88" s="2">
        <v>45567</v>
      </c>
      <c r="H88">
        <f>COUNTIF(Rendelések!$H$2:$H$188,Ügyfelek!B88)</f>
        <v>1</v>
      </c>
      <c r="I88">
        <f>SUMIF(Rendelések!H88:H274,Ügyfelek!B88,Rendelések!C88:C274)</f>
        <v>3</v>
      </c>
      <c r="J88" t="str">
        <f t="shared" si="1"/>
        <v>Egyszeri Vásárló</v>
      </c>
      <c r="K88" s="25">
        <f>SUMIF(Rendelések!H88:H274,Ügyfelek!B88,Rendelések!D88:D274)</f>
        <v>192042</v>
      </c>
    </row>
    <row r="89" spans="1:11" ht="15">
      <c r="A89" s="32" t="s">
        <v>511</v>
      </c>
      <c r="B89" t="s">
        <v>148</v>
      </c>
      <c r="C89" t="s">
        <v>512</v>
      </c>
      <c r="D89" t="s">
        <v>513</v>
      </c>
      <c r="E89" t="s">
        <v>227</v>
      </c>
      <c r="F89" t="s">
        <v>228</v>
      </c>
      <c r="G89" s="2">
        <v>44504</v>
      </c>
      <c r="H89">
        <f>COUNTIF(Rendelések!$H$2:$H$188,Ügyfelek!B89)</f>
        <v>1</v>
      </c>
      <c r="I89">
        <f>SUMIF(Rendelések!H89:H275,Ügyfelek!B89,Rendelések!C89:C275)</f>
        <v>1</v>
      </c>
      <c r="J89" t="str">
        <f t="shared" si="1"/>
        <v>Egyszeri Vásárló</v>
      </c>
      <c r="K89" s="25">
        <f>SUMIF(Rendelések!H89:H275,Ügyfelek!B89,Rendelések!D89:D275)</f>
        <v>80751</v>
      </c>
    </row>
    <row r="90" spans="1:11" ht="15">
      <c r="A90" s="32" t="s">
        <v>514</v>
      </c>
      <c r="B90" t="s">
        <v>149</v>
      </c>
      <c r="C90" t="s">
        <v>515</v>
      </c>
      <c r="D90" s="33" t="s">
        <v>516</v>
      </c>
      <c r="E90" t="s">
        <v>380</v>
      </c>
      <c r="F90" t="s">
        <v>416</v>
      </c>
      <c r="G90" s="2">
        <v>44784</v>
      </c>
      <c r="H90">
        <f>COUNTIF(Rendelések!$H$2:$H$188,Ügyfelek!B90)</f>
        <v>1</v>
      </c>
      <c r="I90">
        <f>SUMIF(Rendelések!H90:H276,Ügyfelek!B90,Rendelések!C90:C276)</f>
        <v>1</v>
      </c>
      <c r="J90" t="str">
        <f t="shared" si="1"/>
        <v>Egyszeri Vásárló</v>
      </c>
      <c r="K90" s="25">
        <f>SUMIF(Rendelések!H90:H276,Ügyfelek!B90,Rendelések!D90:D276)</f>
        <v>74578</v>
      </c>
    </row>
    <row r="91" spans="1:11" ht="15">
      <c r="A91" s="32" t="s">
        <v>517</v>
      </c>
      <c r="B91" t="s">
        <v>150</v>
      </c>
      <c r="C91" t="s">
        <v>518</v>
      </c>
      <c r="D91" t="s">
        <v>519</v>
      </c>
      <c r="E91" t="s">
        <v>227</v>
      </c>
      <c r="F91" t="s">
        <v>249</v>
      </c>
      <c r="G91" s="2">
        <v>45664</v>
      </c>
      <c r="H91">
        <f>COUNTIF(Rendelések!$H$2:$H$188,Ügyfelek!B91)</f>
        <v>1</v>
      </c>
      <c r="I91">
        <f>SUMIF(Rendelések!H91:H277,Ügyfelek!B91,Rendelések!C91:C277)</f>
        <v>1</v>
      </c>
      <c r="J91" t="str">
        <f t="shared" si="1"/>
        <v>Egyszeri Vásárló</v>
      </c>
      <c r="K91" s="25">
        <f>SUMIF(Rendelések!H91:H277,Ügyfelek!B91,Rendelések!D91:D277)</f>
        <v>80499</v>
      </c>
    </row>
    <row r="92" spans="1:11" ht="15">
      <c r="A92" s="32" t="s">
        <v>520</v>
      </c>
      <c r="B92" t="s">
        <v>151</v>
      </c>
      <c r="C92" t="s">
        <v>521</v>
      </c>
      <c r="D92" s="33" t="s">
        <v>522</v>
      </c>
      <c r="E92" t="s">
        <v>323</v>
      </c>
      <c r="F92" t="s">
        <v>324</v>
      </c>
      <c r="G92" s="2">
        <v>43977</v>
      </c>
      <c r="H92">
        <f>COUNTIF(Rendelések!$H$2:$H$188,Ügyfelek!B92)</f>
        <v>1</v>
      </c>
      <c r="I92">
        <f>SUMIF(Rendelések!H92:H278,Ügyfelek!B92,Rendelések!C92:C278)</f>
        <v>3</v>
      </c>
      <c r="J92" t="str">
        <f t="shared" si="1"/>
        <v>Egyszeri Vásárló</v>
      </c>
      <c r="K92" s="25">
        <f>SUMIF(Rendelések!H92:H278,Ügyfelek!B92,Rendelések!D92:D278)</f>
        <v>190608</v>
      </c>
    </row>
    <row r="93" spans="1:11" ht="15">
      <c r="A93" s="32" t="s">
        <v>523</v>
      </c>
      <c r="B93" t="s">
        <v>152</v>
      </c>
      <c r="C93" t="s">
        <v>524</v>
      </c>
      <c r="D93" t="s">
        <v>525</v>
      </c>
      <c r="E93" t="s">
        <v>227</v>
      </c>
      <c r="F93" t="s">
        <v>249</v>
      </c>
      <c r="G93" s="2">
        <v>45194</v>
      </c>
      <c r="H93">
        <f>COUNTIF(Rendelések!$H$2:$H$188,Ügyfelek!B93)</f>
        <v>1</v>
      </c>
      <c r="I93">
        <f>SUMIF(Rendelések!H93:H279,Ügyfelek!B93,Rendelések!C93:C279)</f>
        <v>1</v>
      </c>
      <c r="J93" t="str">
        <f t="shared" si="1"/>
        <v>Egyszeri Vásárló</v>
      </c>
      <c r="K93" s="25">
        <f>SUMIF(Rendelések!H93:H279,Ügyfelek!B93,Rendelések!D93:D279)</f>
        <v>88946</v>
      </c>
    </row>
    <row r="94" spans="1:11" ht="15">
      <c r="A94" s="32" t="s">
        <v>526</v>
      </c>
      <c r="B94" t="s">
        <v>153</v>
      </c>
      <c r="C94" t="s">
        <v>527</v>
      </c>
      <c r="D94" t="s">
        <v>528</v>
      </c>
      <c r="E94" t="s">
        <v>227</v>
      </c>
      <c r="F94" t="s">
        <v>245</v>
      </c>
      <c r="G94" s="2">
        <v>44258</v>
      </c>
      <c r="H94">
        <f>COUNTIF(Rendelések!$H$2:$H$188,Ügyfelek!B94)</f>
        <v>1</v>
      </c>
      <c r="I94">
        <f>SUMIF(Rendelések!H94:H280,Ügyfelek!B94,Rendelések!C94:C280)</f>
        <v>3</v>
      </c>
      <c r="J94" t="str">
        <f t="shared" si="1"/>
        <v>Egyszeri Vásárló</v>
      </c>
      <c r="K94" s="25">
        <f>SUMIF(Rendelések!H94:H280,Ügyfelek!B94,Rendelések!D94:D280)</f>
        <v>257523</v>
      </c>
    </row>
    <row r="95" spans="1:11" ht="15">
      <c r="A95" s="32" t="s">
        <v>529</v>
      </c>
      <c r="B95" t="s">
        <v>154</v>
      </c>
      <c r="C95" t="s">
        <v>530</v>
      </c>
      <c r="D95" t="s">
        <v>531</v>
      </c>
      <c r="E95" t="s">
        <v>227</v>
      </c>
      <c r="F95" t="s">
        <v>228</v>
      </c>
      <c r="G95" s="2">
        <v>44913</v>
      </c>
      <c r="H95">
        <f>COUNTIF(Rendelések!$H$2:$H$188,Ügyfelek!B95)</f>
        <v>1</v>
      </c>
      <c r="I95">
        <f>SUMIF(Rendelések!H95:H281,Ügyfelek!B95,Rendelések!C95:C281)</f>
        <v>1</v>
      </c>
      <c r="J95" t="str">
        <f t="shared" si="1"/>
        <v>Egyszeri Vásárló</v>
      </c>
      <c r="K95" s="25">
        <f>SUMIF(Rendelések!H95:H281,Ügyfelek!B95,Rendelések!D95:D281)</f>
        <v>58708</v>
      </c>
    </row>
    <row r="96" spans="1:11" ht="15">
      <c r="A96" s="32" t="s">
        <v>532</v>
      </c>
      <c r="B96" t="s">
        <v>155</v>
      </c>
      <c r="C96" t="s">
        <v>533</v>
      </c>
      <c r="D96" t="s">
        <v>534</v>
      </c>
      <c r="E96" t="s">
        <v>227</v>
      </c>
      <c r="F96" t="s">
        <v>249</v>
      </c>
      <c r="G96" s="2">
        <v>45864</v>
      </c>
      <c r="H96">
        <f>COUNTIF(Rendelések!$H$2:$H$188,Ügyfelek!B96)</f>
        <v>1</v>
      </c>
      <c r="I96">
        <f>SUMIF(Rendelések!H96:H282,Ügyfelek!B96,Rendelések!C96:C282)</f>
        <v>4</v>
      </c>
      <c r="J96" t="str">
        <f t="shared" si="1"/>
        <v>Egyszeri Vásárló</v>
      </c>
      <c r="K96" s="25">
        <f>SUMIF(Rendelések!H96:H282,Ügyfelek!B96,Rendelések!D96:D282)</f>
        <v>352508</v>
      </c>
    </row>
    <row r="97" spans="1:11" ht="15">
      <c r="A97" s="32" t="s">
        <v>535</v>
      </c>
      <c r="B97" t="s">
        <v>156</v>
      </c>
      <c r="C97" t="s">
        <v>536</v>
      </c>
      <c r="D97" s="33" t="s">
        <v>537</v>
      </c>
      <c r="E97" t="s">
        <v>380</v>
      </c>
      <c r="F97" t="s">
        <v>538</v>
      </c>
      <c r="G97" s="2">
        <v>43993</v>
      </c>
      <c r="H97">
        <f>COUNTIF(Rendelések!$H$2:$H$188,Ügyfelek!B97)</f>
        <v>1</v>
      </c>
      <c r="I97">
        <f>SUMIF(Rendelések!H97:H283,Ügyfelek!B97,Rendelések!C97:C283)</f>
        <v>2</v>
      </c>
      <c r="J97" t="str">
        <f t="shared" si="1"/>
        <v>Egyszeri Vásárló</v>
      </c>
      <c r="K97" s="25">
        <f>SUMIF(Rendelések!H97:H283,Ügyfelek!B97,Rendelések!D97:D283)</f>
        <v>128028</v>
      </c>
    </row>
    <row r="98" spans="1:11" ht="15">
      <c r="A98" s="32" t="s">
        <v>539</v>
      </c>
      <c r="B98" t="s">
        <v>157</v>
      </c>
      <c r="C98" t="s">
        <v>540</v>
      </c>
      <c r="D98" t="s">
        <v>541</v>
      </c>
      <c r="E98" t="s">
        <v>227</v>
      </c>
      <c r="F98" t="s">
        <v>249</v>
      </c>
      <c r="G98" s="2">
        <v>45140</v>
      </c>
      <c r="H98">
        <f>COUNTIF(Rendelések!$H$2:$H$188,Ügyfelek!B98)</f>
        <v>1</v>
      </c>
      <c r="I98">
        <f>SUMIF(Rendelések!H98:H284,Ügyfelek!B98,Rendelések!C98:C284)</f>
        <v>1</v>
      </c>
      <c r="J98" t="str">
        <f t="shared" si="1"/>
        <v>Egyszeri Vásárló</v>
      </c>
      <c r="K98" s="25">
        <f>SUMIF(Rendelések!H98:H284,Ügyfelek!B98,Rendelések!D98:D284)</f>
        <v>88349</v>
      </c>
    </row>
    <row r="99" spans="1:11" ht="15">
      <c r="A99" s="32" t="s">
        <v>542</v>
      </c>
      <c r="B99" t="s">
        <v>158</v>
      </c>
      <c r="C99" t="s">
        <v>543</v>
      </c>
      <c r="D99" t="s">
        <v>544</v>
      </c>
      <c r="E99" t="s">
        <v>227</v>
      </c>
      <c r="F99" t="s">
        <v>268</v>
      </c>
      <c r="G99" s="2">
        <v>45615</v>
      </c>
      <c r="H99">
        <f>COUNTIF(Rendelések!$H$2:$H$188,Ügyfelek!B99)</f>
        <v>1</v>
      </c>
      <c r="I99">
        <f>SUMIF(Rendelések!H99:H285,Ügyfelek!B99,Rendelések!C99:C285)</f>
        <v>3</v>
      </c>
      <c r="J99" t="str">
        <f t="shared" si="1"/>
        <v>Egyszeri Vásárló</v>
      </c>
      <c r="K99" s="25">
        <f>SUMIF(Rendelések!H99:H285,Ügyfelek!B99,Rendelések!D99:D285)</f>
        <v>290346</v>
      </c>
    </row>
    <row r="100" spans="1:11" ht="15">
      <c r="A100" s="32" t="s">
        <v>545</v>
      </c>
      <c r="B100" t="s">
        <v>159</v>
      </c>
      <c r="C100" t="s">
        <v>546</v>
      </c>
      <c r="D100" s="33" t="s">
        <v>547</v>
      </c>
      <c r="E100" t="s">
        <v>323</v>
      </c>
      <c r="F100" t="s">
        <v>420</v>
      </c>
      <c r="G100" s="2">
        <v>44316</v>
      </c>
      <c r="H100">
        <f>COUNTIF(Rendelések!$H$2:$H$188,Ügyfelek!B100)</f>
        <v>1</v>
      </c>
      <c r="I100">
        <f>SUMIF(Rendelések!H100:H286,Ügyfelek!B100,Rendelések!C100:C286)</f>
        <v>1</v>
      </c>
      <c r="J100" t="str">
        <f t="shared" si="1"/>
        <v>Egyszeri Vásárló</v>
      </c>
      <c r="K100" s="25">
        <f>SUMIF(Rendelések!H100:H286,Ügyfelek!B100,Rendelések!D100:D286)</f>
        <v>52504</v>
      </c>
    </row>
    <row r="101" spans="1:11" ht="15">
      <c r="A101" s="32" t="s">
        <v>548</v>
      </c>
      <c r="B101" t="s">
        <v>160</v>
      </c>
      <c r="C101" t="s">
        <v>549</v>
      </c>
      <c r="D101" t="s">
        <v>550</v>
      </c>
      <c r="E101" t="s">
        <v>227</v>
      </c>
      <c r="F101" t="s">
        <v>295</v>
      </c>
      <c r="G101" s="2">
        <v>44810</v>
      </c>
      <c r="H101">
        <f>COUNTIF(Rendelések!$H$2:$H$188,Ügyfelek!B101)</f>
        <v>2</v>
      </c>
      <c r="I101">
        <f>SUMIF(Rendelések!H101:H287,Ügyfelek!B101,Rendelések!C101:C287)</f>
        <v>4</v>
      </c>
      <c r="J101" t="str">
        <f t="shared" si="1"/>
        <v>Visszatérő Vásárló</v>
      </c>
      <c r="K101" s="25">
        <f>SUMIF(Rendelések!H101:H287,Ügyfelek!B101,Rendelések!D101:D287)</f>
        <v>328819</v>
      </c>
    </row>
    <row r="102" spans="1:11" ht="15">
      <c r="A102" s="32" t="s">
        <v>551</v>
      </c>
      <c r="B102" t="s">
        <v>161</v>
      </c>
      <c r="C102" t="s">
        <v>552</v>
      </c>
      <c r="D102" s="33" t="s">
        <v>553</v>
      </c>
      <c r="E102" t="s">
        <v>357</v>
      </c>
      <c r="F102" t="s">
        <v>510</v>
      </c>
      <c r="G102" s="2">
        <v>45698</v>
      </c>
      <c r="H102">
        <f>COUNTIF(Rendelések!$H$2:$H$188,Ügyfelek!B102)</f>
        <v>2</v>
      </c>
      <c r="I102">
        <f>SUMIF(Rendelések!H102:H288,Ügyfelek!B102,Rendelések!C102:C288)</f>
        <v>2</v>
      </c>
      <c r="J102" t="str">
        <f t="shared" si="1"/>
        <v>Visszatérő Vásárló</v>
      </c>
      <c r="K102" s="25">
        <f>SUMIF(Rendelések!H102:H288,Ügyfelek!B102,Rendelések!D102:D288)</f>
        <v>172205</v>
      </c>
    </row>
    <row r="103" spans="1:11" ht="15">
      <c r="A103" s="32" t="s">
        <v>554</v>
      </c>
      <c r="B103" t="s">
        <v>162</v>
      </c>
      <c r="C103" t="s">
        <v>555</v>
      </c>
      <c r="D103" t="s">
        <v>556</v>
      </c>
      <c r="E103" t="s">
        <v>227</v>
      </c>
      <c r="F103" t="s">
        <v>249</v>
      </c>
      <c r="G103" s="2">
        <v>44118</v>
      </c>
      <c r="H103">
        <f>COUNTIF(Rendelések!$H$2:$H$188,Ügyfelek!B103)</f>
        <v>1</v>
      </c>
      <c r="I103">
        <f>SUMIF(Rendelések!H103:H289,Ügyfelek!B103,Rendelések!C103:C289)</f>
        <v>4</v>
      </c>
      <c r="J103" t="str">
        <f t="shared" si="1"/>
        <v>Egyszeri Vásárló</v>
      </c>
      <c r="K103" s="25">
        <f>SUMIF(Rendelések!H103:H289,Ügyfelek!B103,Rendelések!D103:D289)</f>
        <v>205360</v>
      </c>
    </row>
    <row r="104" spans="1:11" ht="15">
      <c r="A104" s="32" t="s">
        <v>557</v>
      </c>
      <c r="B104" t="s">
        <v>163</v>
      </c>
      <c r="C104" t="s">
        <v>558</v>
      </c>
      <c r="D104" t="s">
        <v>559</v>
      </c>
      <c r="E104" t="s">
        <v>240</v>
      </c>
      <c r="F104" t="s">
        <v>241</v>
      </c>
      <c r="G104" s="2">
        <v>45084</v>
      </c>
      <c r="H104">
        <f>COUNTIF(Rendelések!$H$2:$H$188,Ügyfelek!B104)</f>
        <v>1</v>
      </c>
      <c r="I104">
        <f>SUMIF(Rendelések!H104:H290,Ügyfelek!B104,Rendelések!C104:C290)</f>
        <v>4</v>
      </c>
      <c r="J104" t="str">
        <f t="shared" si="1"/>
        <v>Egyszeri Vásárló</v>
      </c>
      <c r="K104" s="25">
        <f>SUMIF(Rendelések!H104:H290,Ügyfelek!B104,Rendelések!D104:D290)</f>
        <v>249360</v>
      </c>
    </row>
    <row r="105" spans="1:11" ht="15">
      <c r="A105" s="32" t="s">
        <v>560</v>
      </c>
      <c r="B105" t="s">
        <v>164</v>
      </c>
      <c r="C105" t="s">
        <v>561</v>
      </c>
      <c r="D105" t="s">
        <v>562</v>
      </c>
      <c r="E105" t="s">
        <v>227</v>
      </c>
      <c r="F105" t="s">
        <v>295</v>
      </c>
      <c r="G105" s="2">
        <v>45379</v>
      </c>
      <c r="H105">
        <f>COUNTIF(Rendelések!$H$2:$H$188,Ügyfelek!B105)</f>
        <v>1</v>
      </c>
      <c r="I105">
        <f>SUMIF(Rendelések!H105:H291,Ügyfelek!B105,Rendelések!C105:C291)</f>
        <v>3</v>
      </c>
      <c r="J105" t="str">
        <f t="shared" si="1"/>
        <v>Egyszeri Vásárló</v>
      </c>
      <c r="K105" s="25">
        <f>SUMIF(Rendelések!H105:H291,Ügyfelek!B105,Rendelések!D105:D291)</f>
        <v>192042</v>
      </c>
    </row>
    <row r="106" spans="1:11" ht="15">
      <c r="A106" s="32" t="s">
        <v>563</v>
      </c>
      <c r="B106" t="s">
        <v>165</v>
      </c>
      <c r="C106" t="s">
        <v>564</v>
      </c>
      <c r="D106" t="s">
        <v>565</v>
      </c>
      <c r="E106" t="s">
        <v>227</v>
      </c>
      <c r="F106" t="s">
        <v>228</v>
      </c>
      <c r="G106" s="2">
        <v>44531</v>
      </c>
      <c r="H106">
        <f>COUNTIF(Rendelések!$H$2:$H$188,Ügyfelek!B106)</f>
        <v>1</v>
      </c>
      <c r="I106">
        <f>SUMIF(Rendelések!H106:H292,Ügyfelek!B106,Rendelések!C106:C292)</f>
        <v>1</v>
      </c>
      <c r="J106" t="str">
        <f t="shared" si="1"/>
        <v>Egyszeri Vásárló</v>
      </c>
      <c r="K106" s="25">
        <f>SUMIF(Rendelések!H106:H292,Ügyfelek!B106,Rendelések!D106:D292)</f>
        <v>52504</v>
      </c>
    </row>
    <row r="107" spans="1:11" ht="15">
      <c r="A107" s="32" t="s">
        <v>566</v>
      </c>
      <c r="B107" t="s">
        <v>166</v>
      </c>
      <c r="C107" t="s">
        <v>567</v>
      </c>
      <c r="D107" t="s">
        <v>568</v>
      </c>
      <c r="E107" t="s">
        <v>227</v>
      </c>
      <c r="F107" t="s">
        <v>245</v>
      </c>
      <c r="G107" s="2">
        <v>44734</v>
      </c>
      <c r="H107">
        <f>COUNTIF(Rendelések!$H$2:$H$188,Ügyfelek!B107)</f>
        <v>1</v>
      </c>
      <c r="I107">
        <f>SUMIF(Rendelések!H107:H293,Ügyfelek!B107,Rendelések!C107:C293)</f>
        <v>2</v>
      </c>
      <c r="J107" t="str">
        <f t="shared" si="1"/>
        <v>Egyszeri Vásárló</v>
      </c>
      <c r="K107" s="25">
        <f>SUMIF(Rendelések!H107:H293,Ügyfelek!B107,Rendelések!D107:D293)</f>
        <v>189448</v>
      </c>
    </row>
    <row r="108" spans="1:11" ht="15">
      <c r="A108" s="32" t="s">
        <v>569</v>
      </c>
      <c r="B108" t="s">
        <v>167</v>
      </c>
      <c r="C108" t="s">
        <v>570</v>
      </c>
      <c r="D108" t="s">
        <v>571</v>
      </c>
      <c r="E108" t="s">
        <v>227</v>
      </c>
      <c r="F108" t="s">
        <v>245</v>
      </c>
      <c r="G108" s="2">
        <v>45786</v>
      </c>
      <c r="H108">
        <f>COUNTIF(Rendelések!$H$2:$H$188,Ügyfelek!B108)</f>
        <v>1</v>
      </c>
      <c r="I108">
        <f>SUMIF(Rendelések!H108:H294,Ügyfelek!B108,Rendelések!C108:C294)</f>
        <v>1</v>
      </c>
      <c r="J108" t="str">
        <f t="shared" si="1"/>
        <v>Egyszeri Vásárló</v>
      </c>
      <c r="K108" s="25">
        <f>SUMIF(Rendelések!H108:H294,Ügyfelek!B108,Rendelések!D108:D294)</f>
        <v>74578</v>
      </c>
    </row>
    <row r="109" spans="1:11" ht="15">
      <c r="A109" s="32" t="s">
        <v>572</v>
      </c>
      <c r="B109" t="s">
        <v>168</v>
      </c>
      <c r="C109" t="s">
        <v>573</v>
      </c>
      <c r="D109" t="s">
        <v>574</v>
      </c>
      <c r="E109" t="s">
        <v>227</v>
      </c>
      <c r="F109" t="s">
        <v>245</v>
      </c>
      <c r="G109" s="2">
        <v>43927</v>
      </c>
      <c r="H109">
        <f>COUNTIF(Rendelések!$H$2:$H$188,Ügyfelek!B109)</f>
        <v>1</v>
      </c>
      <c r="I109">
        <f>SUMIF(Rendelések!H109:H295,Ügyfelek!B109,Rendelések!C109:C295)</f>
        <v>1</v>
      </c>
      <c r="J109" t="str">
        <f t="shared" si="1"/>
        <v>Egyszeri Vásárló</v>
      </c>
      <c r="K109" s="25">
        <f>SUMIF(Rendelések!H109:H295,Ügyfelek!B109,Rendelések!D109:D295)</f>
        <v>99105</v>
      </c>
    </row>
    <row r="110" spans="1:11" ht="15">
      <c r="A110" s="32" t="s">
        <v>575</v>
      </c>
      <c r="B110" t="s">
        <v>169</v>
      </c>
      <c r="C110" t="s">
        <v>576</v>
      </c>
      <c r="D110" t="s">
        <v>577</v>
      </c>
      <c r="E110" t="s">
        <v>227</v>
      </c>
      <c r="F110" t="s">
        <v>295</v>
      </c>
      <c r="G110" s="2">
        <v>45228</v>
      </c>
      <c r="H110">
        <f>COUNTIF(Rendelések!$H$2:$H$188,Ügyfelek!B110)</f>
        <v>1</v>
      </c>
      <c r="I110">
        <f>SUMIF(Rendelések!H110:H296,Ügyfelek!B110,Rendelések!C110:C296)</f>
        <v>1</v>
      </c>
      <c r="J110" t="str">
        <f t="shared" si="1"/>
        <v>Egyszeri Vásárló</v>
      </c>
      <c r="K110" s="25">
        <f>SUMIF(Rendelések!H110:H296,Ügyfelek!B110,Rendelések!D110:D296)</f>
        <v>63536</v>
      </c>
    </row>
    <row r="111" spans="1:11" ht="15">
      <c r="A111" s="32" t="s">
        <v>578</v>
      </c>
      <c r="B111" t="s">
        <v>170</v>
      </c>
      <c r="C111" t="s">
        <v>579</v>
      </c>
      <c r="D111" t="s">
        <v>580</v>
      </c>
      <c r="E111" t="s">
        <v>227</v>
      </c>
      <c r="F111" t="s">
        <v>236</v>
      </c>
      <c r="G111" s="2">
        <v>45486</v>
      </c>
      <c r="H111">
        <f>COUNTIF(Rendelések!$H$2:$H$188,Ügyfelek!B111)</f>
        <v>1</v>
      </c>
      <c r="I111">
        <f>SUMIF(Rendelések!H111:H297,Ügyfelek!B111,Rendelések!C111:C297)</f>
        <v>2</v>
      </c>
      <c r="J111" t="str">
        <f t="shared" si="1"/>
        <v>Egyszeri Vásárló</v>
      </c>
      <c r="K111" s="25">
        <f>SUMIF(Rendelések!H111:H297,Ügyfelek!B111,Rendelések!D111:D297)</f>
        <v>177892</v>
      </c>
    </row>
    <row r="112" spans="1:11" ht="15">
      <c r="A112" s="32" t="s">
        <v>581</v>
      </c>
      <c r="B112" t="s">
        <v>171</v>
      </c>
      <c r="C112" t="s">
        <v>582</v>
      </c>
      <c r="D112" t="s">
        <v>583</v>
      </c>
      <c r="E112" t="s">
        <v>227</v>
      </c>
      <c r="F112" t="s">
        <v>249</v>
      </c>
      <c r="G112" s="2">
        <v>44214</v>
      </c>
      <c r="H112">
        <f>COUNTIF(Rendelések!$H$2:$H$188,Ügyfelek!B112)</f>
        <v>1</v>
      </c>
      <c r="I112">
        <f>SUMIF(Rendelések!H112:H298,Ügyfelek!B112,Rendelések!C112:C298)</f>
        <v>1</v>
      </c>
      <c r="J112" t="str">
        <f t="shared" si="1"/>
        <v>Egyszeri Vásárló</v>
      </c>
      <c r="K112" s="25">
        <f>SUMIF(Rendelések!H112:H298,Ügyfelek!B112,Rendelések!D112:D298)</f>
        <v>94247</v>
      </c>
    </row>
    <row r="113" spans="1:11" ht="15">
      <c r="A113" s="32" t="s">
        <v>584</v>
      </c>
      <c r="B113" t="s">
        <v>172</v>
      </c>
      <c r="C113" t="s">
        <v>585</v>
      </c>
      <c r="D113" t="s">
        <v>586</v>
      </c>
      <c r="E113" t="s">
        <v>227</v>
      </c>
      <c r="F113" t="s">
        <v>236</v>
      </c>
      <c r="G113" s="2">
        <v>44891</v>
      </c>
      <c r="H113">
        <f>COUNTIF(Rendelések!$H$2:$H$188,Ügyfelek!B113)</f>
        <v>1</v>
      </c>
      <c r="I113">
        <f>SUMIF(Rendelések!H113:H299,Ügyfelek!B113,Rendelések!C113:C299)</f>
        <v>2</v>
      </c>
      <c r="J113" t="str">
        <f t="shared" si="1"/>
        <v>Egyszeri Vásárló</v>
      </c>
      <c r="K113" s="25">
        <f>SUMIF(Rendelések!H113:H299,Ügyfelek!B113,Rendelések!D113:D299)</f>
        <v>117416</v>
      </c>
    </row>
    <row r="114" spans="1:11" ht="15">
      <c r="A114" s="32" t="s">
        <v>587</v>
      </c>
      <c r="B114" t="s">
        <v>173</v>
      </c>
      <c r="C114" t="s">
        <v>588</v>
      </c>
      <c r="D114" t="s">
        <v>589</v>
      </c>
      <c r="E114" t="s">
        <v>227</v>
      </c>
      <c r="F114" t="s">
        <v>228</v>
      </c>
      <c r="G114" s="2">
        <v>45874</v>
      </c>
      <c r="H114">
        <f>COUNTIF(Rendelések!$H$2:$H$188,Ügyfelek!B114)</f>
        <v>1</v>
      </c>
      <c r="I114">
        <f>SUMIF(Rendelések!H114:H300,Ügyfelek!B114,Rendelések!C114:C300)</f>
        <v>2</v>
      </c>
      <c r="J114" t="str">
        <f t="shared" si="1"/>
        <v>Egyszeri Vásárló</v>
      </c>
      <c r="K114" s="25">
        <f>SUMIF(Rendelések!H114:H300,Ügyfelek!B114,Rendelések!D114:D300)</f>
        <v>128028</v>
      </c>
    </row>
    <row r="115" spans="1:11" ht="15">
      <c r="A115" s="32" t="s">
        <v>590</v>
      </c>
      <c r="B115" t="s">
        <v>174</v>
      </c>
      <c r="C115" t="s">
        <v>591</v>
      </c>
      <c r="D115" t="s">
        <v>592</v>
      </c>
      <c r="E115" t="s">
        <v>227</v>
      </c>
      <c r="F115" t="s">
        <v>228</v>
      </c>
      <c r="G115" s="2">
        <v>44083</v>
      </c>
      <c r="H115">
        <f>COUNTIF(Rendelések!$H$2:$H$188,Ügyfelek!B115)</f>
        <v>2</v>
      </c>
      <c r="I115">
        <f>SUMIF(Rendelések!H115:H301,Ügyfelek!B115,Rendelések!C115:C301)</f>
        <v>7</v>
      </c>
      <c r="J115" t="str">
        <f t="shared" si="1"/>
        <v>Visszatérő Vásárló</v>
      </c>
      <c r="K115" s="25">
        <f>SUMIF(Rendelések!H115:H301,Ügyfelek!B115,Rendelések!D115:D301)</f>
        <v>398160</v>
      </c>
    </row>
    <row r="116" spans="1:11" ht="15">
      <c r="A116" s="32" t="s">
        <v>593</v>
      </c>
      <c r="B116" t="s">
        <v>175</v>
      </c>
      <c r="C116" t="s">
        <v>594</v>
      </c>
      <c r="D116" t="s">
        <v>595</v>
      </c>
      <c r="E116" t="s">
        <v>227</v>
      </c>
      <c r="F116" t="s">
        <v>245</v>
      </c>
      <c r="G116" s="2">
        <v>44958</v>
      </c>
      <c r="H116">
        <f>COUNTIF(Rendelések!$H$2:$H$188,Ügyfelek!B116)</f>
        <v>1</v>
      </c>
      <c r="I116">
        <f>SUMIF(Rendelések!H116:H302,Ügyfelek!B116,Rendelések!C116:C302)</f>
        <v>1</v>
      </c>
      <c r="J116" t="str">
        <f t="shared" si="1"/>
        <v>Egyszeri Vásárló</v>
      </c>
      <c r="K116" s="25">
        <f>SUMIF(Rendelések!H116:H302,Ügyfelek!B116,Rendelések!D116:D302)</f>
        <v>97861</v>
      </c>
    </row>
    <row r="117" spans="1:11" ht="15">
      <c r="A117" s="32" t="s">
        <v>596</v>
      </c>
      <c r="B117" t="s">
        <v>176</v>
      </c>
      <c r="C117" t="s">
        <v>597</v>
      </c>
      <c r="D117" t="s">
        <v>598</v>
      </c>
      <c r="E117" t="s">
        <v>227</v>
      </c>
      <c r="F117" t="s">
        <v>295</v>
      </c>
      <c r="G117" s="2">
        <v>45648</v>
      </c>
      <c r="H117">
        <f>COUNTIF(Rendelések!$H$2:$H$188,Ügyfelek!B117)</f>
        <v>1</v>
      </c>
      <c r="I117">
        <f>SUMIF(Rendelések!H117:H303,Ügyfelek!B117,Rendelések!C117:C303)</f>
        <v>1</v>
      </c>
      <c r="J117" t="str">
        <f t="shared" si="1"/>
        <v>Egyszeri Vásárló</v>
      </c>
      <c r="K117" s="25">
        <f>SUMIF(Rendelések!H117:H303,Ügyfelek!B117,Rendelések!D117:D303)</f>
        <v>88349</v>
      </c>
    </row>
    <row r="118" spans="1:11" ht="15">
      <c r="A118" s="32" t="s">
        <v>599</v>
      </c>
      <c r="B118" t="s">
        <v>177</v>
      </c>
      <c r="C118" t="s">
        <v>600</v>
      </c>
      <c r="D118" t="s">
        <v>601</v>
      </c>
      <c r="E118" t="s">
        <v>227</v>
      </c>
      <c r="F118" t="s">
        <v>295</v>
      </c>
      <c r="G118" s="2">
        <v>44332</v>
      </c>
      <c r="H118">
        <f>COUNTIF(Rendelések!$H$2:$H$188,Ügyfelek!B118)</f>
        <v>1</v>
      </c>
      <c r="I118">
        <f>SUMIF(Rendelések!H118:H304,Ügyfelek!B118,Rendelések!C118:C304)</f>
        <v>3</v>
      </c>
      <c r="J118" t="str">
        <f t="shared" si="1"/>
        <v>Egyszeri Vásárló</v>
      </c>
      <c r="K118" s="25">
        <f>SUMIF(Rendelések!H118:H304,Ügyfelek!B118,Rendelések!D118:D304)</f>
        <v>290346</v>
      </c>
    </row>
    <row r="119" spans="1:11" ht="15">
      <c r="A119" s="32" t="s">
        <v>602</v>
      </c>
      <c r="B119" t="s">
        <v>178</v>
      </c>
      <c r="C119" t="s">
        <v>603</v>
      </c>
      <c r="D119" s="33" t="s">
        <v>604</v>
      </c>
      <c r="E119" t="s">
        <v>357</v>
      </c>
      <c r="F119" t="s">
        <v>605</v>
      </c>
      <c r="G119" s="2">
        <v>44621</v>
      </c>
      <c r="H119">
        <f>COUNTIF(Rendelések!$H$2:$H$188,Ügyfelek!B119)</f>
        <v>1</v>
      </c>
      <c r="I119">
        <f>SUMIF(Rendelések!H119:H305,Ügyfelek!B119,Rendelések!C119:C305)</f>
        <v>1</v>
      </c>
      <c r="J119" t="str">
        <f t="shared" si="1"/>
        <v>Egyszeri Vásárló</v>
      </c>
      <c r="K119" s="25">
        <f>SUMIF(Rendelések!H119:H305,Ügyfelek!B119,Rendelések!D119:D305)</f>
        <v>52504</v>
      </c>
    </row>
    <row r="120" spans="1:11" ht="15">
      <c r="A120" s="32" t="s">
        <v>606</v>
      </c>
      <c r="B120" t="s">
        <v>179</v>
      </c>
      <c r="C120" t="s">
        <v>607</v>
      </c>
      <c r="D120" t="s">
        <v>608</v>
      </c>
      <c r="E120" t="s">
        <v>227</v>
      </c>
      <c r="F120" t="s">
        <v>228</v>
      </c>
      <c r="G120" s="2">
        <v>45933</v>
      </c>
      <c r="H120">
        <f>COUNTIF(Rendelések!$H$2:$H$188,Ügyfelek!B120)</f>
        <v>1</v>
      </c>
      <c r="I120">
        <f>SUMIF(Rendelések!H120:H306,Ügyfelek!B120,Rendelések!C120:C306)</f>
        <v>1</v>
      </c>
      <c r="J120" t="str">
        <f t="shared" si="1"/>
        <v>Egyszeri Vásárló</v>
      </c>
      <c r="K120" s="25">
        <f>SUMIF(Rendelések!H120:H306,Ügyfelek!B120,Rendelések!D120:D306)</f>
        <v>71296</v>
      </c>
    </row>
    <row r="121" spans="1:11" ht="15">
      <c r="A121" s="32" t="s">
        <v>609</v>
      </c>
      <c r="B121" t="s">
        <v>180</v>
      </c>
      <c r="C121" t="s">
        <v>610</v>
      </c>
      <c r="D121" t="s">
        <v>611</v>
      </c>
      <c r="E121" t="s">
        <v>227</v>
      </c>
      <c r="F121" t="s">
        <v>295</v>
      </c>
      <c r="G121" s="2">
        <v>44037</v>
      </c>
      <c r="H121">
        <f>COUNTIF(Rendelések!$H$2:$H$188,Ügyfelek!B121)</f>
        <v>1</v>
      </c>
      <c r="I121">
        <f>SUMIF(Rendelések!H121:H307,Ügyfelek!B121,Rendelések!C121:C307)</f>
        <v>4</v>
      </c>
      <c r="J121" t="str">
        <f t="shared" si="1"/>
        <v>Egyszeri Vásárló</v>
      </c>
      <c r="K121" s="25">
        <f>SUMIF(Rendelések!H121:H307,Ügyfelek!B121,Rendelések!D121:D307)</f>
        <v>342924</v>
      </c>
    </row>
    <row r="122" spans="1:11" ht="15">
      <c r="A122" s="32" t="s">
        <v>612</v>
      </c>
      <c r="B122" t="s">
        <v>181</v>
      </c>
      <c r="C122" t="s">
        <v>613</v>
      </c>
      <c r="D122" t="s">
        <v>614</v>
      </c>
      <c r="E122" t="s">
        <v>227</v>
      </c>
      <c r="F122" t="s">
        <v>249</v>
      </c>
      <c r="G122" s="2">
        <v>45251</v>
      </c>
      <c r="H122">
        <f>COUNTIF(Rendelések!$H$2:$H$188,Ügyfelek!B122)</f>
        <v>2</v>
      </c>
      <c r="I122">
        <f>SUMIF(Rendelések!H122:H308,Ügyfelek!B122,Rendelések!C122:C308)</f>
        <v>6</v>
      </c>
      <c r="J122" t="str">
        <f t="shared" si="1"/>
        <v>Visszatérő Vásárló</v>
      </c>
      <c r="K122" s="25">
        <f>SUMIF(Rendelések!H122:H308,Ügyfelek!B122,Rendelések!D122:D308)</f>
        <v>447570</v>
      </c>
    </row>
    <row r="123" spans="1:11" ht="15">
      <c r="A123" s="32" t="s">
        <v>615</v>
      </c>
      <c r="B123" t="s">
        <v>182</v>
      </c>
      <c r="C123" t="s">
        <v>616</v>
      </c>
      <c r="D123" t="s">
        <v>617</v>
      </c>
      <c r="E123" t="s">
        <v>227</v>
      </c>
      <c r="F123" t="s">
        <v>236</v>
      </c>
      <c r="G123" s="2">
        <v>45445</v>
      </c>
      <c r="H123">
        <f>COUNTIF(Rendelések!$H$2:$H$188,Ügyfelek!B123)</f>
        <v>1</v>
      </c>
      <c r="I123">
        <f>SUMIF(Rendelések!H123:H309,Ügyfelek!B123,Rendelések!C123:C309)</f>
        <v>3</v>
      </c>
      <c r="J123" t="str">
        <f t="shared" si="1"/>
        <v>Egyszeri Vásárló</v>
      </c>
      <c r="K123" s="25">
        <f>SUMIF(Rendelések!H123:H309,Ügyfelek!B123,Rendelések!D123:D309)</f>
        <v>259422</v>
      </c>
    </row>
    <row r="124" spans="1:11" ht="15">
      <c r="A124" s="32" t="s">
        <v>618</v>
      </c>
      <c r="B124" t="s">
        <v>183</v>
      </c>
      <c r="C124" t="s">
        <v>619</v>
      </c>
      <c r="D124" t="s">
        <v>620</v>
      </c>
      <c r="E124" t="s">
        <v>227</v>
      </c>
      <c r="F124" t="s">
        <v>249</v>
      </c>
      <c r="G124" s="2">
        <v>44411</v>
      </c>
      <c r="H124">
        <f>COUNTIF(Rendelések!$H$2:$H$188,Ügyfelek!B124)</f>
        <v>1</v>
      </c>
      <c r="I124">
        <f>SUMIF(Rendelések!H124:H310,Ügyfelek!B124,Rendelések!C124:C310)</f>
        <v>1</v>
      </c>
      <c r="J124" t="str">
        <f t="shared" si="1"/>
        <v>Egyszeri Vásárló</v>
      </c>
      <c r="K124" s="25">
        <f>SUMIF(Rendelések!H124:H310,Ügyfelek!B124,Rendelések!D124:D310)</f>
        <v>64014</v>
      </c>
    </row>
    <row r="125" spans="1:11" ht="15">
      <c r="A125" s="32" t="s">
        <v>621</v>
      </c>
      <c r="B125" t="s">
        <v>184</v>
      </c>
      <c r="C125" t="s">
        <v>622</v>
      </c>
      <c r="D125" t="s">
        <v>623</v>
      </c>
      <c r="E125" t="s">
        <v>227</v>
      </c>
      <c r="F125" t="s">
        <v>228</v>
      </c>
      <c r="G125" s="2">
        <v>44842</v>
      </c>
      <c r="H125">
        <f>COUNTIF(Rendelések!$H$2:$H$188,Ügyfelek!B125)</f>
        <v>1</v>
      </c>
      <c r="I125">
        <f>SUMIF(Rendelések!H125:H311,Ügyfelek!B125,Rendelések!C125:C311)</f>
        <v>2</v>
      </c>
      <c r="J125" t="str">
        <f t="shared" si="1"/>
        <v>Egyszeri Vásárló</v>
      </c>
      <c r="K125" s="25">
        <f>SUMIF(Rendelések!H125:H311,Ügyfelek!B125,Rendelések!D125:D311)</f>
        <v>189448</v>
      </c>
    </row>
    <row r="126" spans="1:11" ht="15">
      <c r="A126" s="32" t="s">
        <v>624</v>
      </c>
      <c r="B126" t="s">
        <v>185</v>
      </c>
      <c r="C126" t="s">
        <v>625</v>
      </c>
      <c r="D126" t="s">
        <v>626</v>
      </c>
      <c r="E126" t="s">
        <v>343</v>
      </c>
      <c r="F126" t="s">
        <v>344</v>
      </c>
      <c r="G126" s="2">
        <v>45771</v>
      </c>
      <c r="H126">
        <f>COUNTIF(Rendelések!$H$2:$H$188,Ügyfelek!B126)</f>
        <v>1</v>
      </c>
      <c r="I126">
        <f>SUMIF(Rendelések!H126:H312,Ügyfelek!B126,Rendelések!C126:C312)</f>
        <v>1</v>
      </c>
      <c r="J126" t="str">
        <f t="shared" si="1"/>
        <v>Egyszeri Vásárló</v>
      </c>
      <c r="K126" s="25">
        <f>SUMIF(Rendelések!H126:H312,Ügyfelek!B126,Rendelések!D126:D312)</f>
        <v>80751</v>
      </c>
    </row>
    <row r="127" spans="1:11" ht="15">
      <c r="A127" s="32" t="s">
        <v>627</v>
      </c>
      <c r="B127" t="s">
        <v>186</v>
      </c>
      <c r="C127" t="s">
        <v>628</v>
      </c>
      <c r="D127" t="s">
        <v>629</v>
      </c>
      <c r="E127" t="s">
        <v>227</v>
      </c>
      <c r="F127" t="s">
        <v>236</v>
      </c>
      <c r="G127" s="2">
        <v>43919</v>
      </c>
      <c r="H127">
        <f>COUNTIF(Rendelések!$H$2:$H$188,Ügyfelek!B127)</f>
        <v>1</v>
      </c>
      <c r="I127">
        <f>SUMIF(Rendelések!H127:H313,Ügyfelek!B127,Rendelések!C127:C313)</f>
        <v>4</v>
      </c>
      <c r="J127" t="str">
        <f t="shared" si="1"/>
        <v>Egyszeri Vásárló</v>
      </c>
      <c r="K127" s="25">
        <f>SUMIF(Rendelések!H127:H313,Ügyfelek!B127,Rendelések!D127:D313)</f>
        <v>298312</v>
      </c>
    </row>
    <row r="128" spans="1:11" ht="15">
      <c r="A128" s="32" t="s">
        <v>630</v>
      </c>
      <c r="B128" t="s">
        <v>187</v>
      </c>
      <c r="C128" t="s">
        <v>631</v>
      </c>
      <c r="D128" t="s">
        <v>632</v>
      </c>
      <c r="E128" t="s">
        <v>227</v>
      </c>
      <c r="F128" t="s">
        <v>249</v>
      </c>
      <c r="G128" s="2">
        <v>45047</v>
      </c>
      <c r="H128">
        <f>COUNTIF(Rendelések!$H$2:$H$188,Ügyfelek!B128)</f>
        <v>1</v>
      </c>
      <c r="I128">
        <f>SUMIF(Rendelések!H128:H314,Ügyfelek!B128,Rendelések!C128:C314)</f>
        <v>3</v>
      </c>
      <c r="J128" t="str">
        <f t="shared" si="1"/>
        <v>Egyszeri Vásárló</v>
      </c>
      <c r="K128" s="25">
        <f>SUMIF(Rendelések!H128:H314,Ügyfelek!B128,Rendelések!D128:D314)</f>
        <v>266838</v>
      </c>
    </row>
    <row r="129" spans="1:11" ht="15">
      <c r="A129" s="32" t="s">
        <v>633</v>
      </c>
      <c r="B129" t="s">
        <v>188</v>
      </c>
      <c r="C129" t="s">
        <v>634</v>
      </c>
      <c r="D129" t="s">
        <v>635</v>
      </c>
      <c r="E129" t="s">
        <v>227</v>
      </c>
      <c r="F129" t="s">
        <v>236</v>
      </c>
      <c r="G129" s="2">
        <v>44467</v>
      </c>
      <c r="H129">
        <f>COUNTIF(Rendelések!$H$2:$H$188,Ügyfelek!B129)</f>
        <v>1</v>
      </c>
      <c r="I129">
        <f>SUMIF(Rendelések!H129:H315,Ügyfelek!B129,Rendelések!C129:C315)</f>
        <v>2</v>
      </c>
      <c r="J129" t="str">
        <f t="shared" si="1"/>
        <v>Egyszeri Vásárló</v>
      </c>
      <c r="K129" s="25">
        <f>SUMIF(Rendelések!H129:H315,Ügyfelek!B129,Rendelések!D129:D315)</f>
        <v>117416</v>
      </c>
    </row>
    <row r="130" spans="1:11" ht="15">
      <c r="A130" s="32" t="s">
        <v>636</v>
      </c>
      <c r="B130" t="s">
        <v>189</v>
      </c>
      <c r="C130" t="s">
        <v>637</v>
      </c>
      <c r="D130" t="s">
        <v>638</v>
      </c>
      <c r="E130" t="s">
        <v>227</v>
      </c>
      <c r="F130" t="s">
        <v>228</v>
      </c>
      <c r="G130" s="2">
        <v>44773</v>
      </c>
      <c r="H130">
        <f>COUNTIF(Rendelések!$H$2:$H$188,Ügyfelek!B130)</f>
        <v>1</v>
      </c>
      <c r="I130">
        <f>SUMIF(Rendelések!H130:H316,Ügyfelek!B130,Rendelések!C130:C316)</f>
        <v>1</v>
      </c>
      <c r="J130" t="str">
        <f t="shared" si="1"/>
        <v>Egyszeri Vásárló</v>
      </c>
      <c r="K130" s="25">
        <f>SUMIF(Rendelések!H130:H316,Ügyfelek!B130,Rendelések!D130:D316)</f>
        <v>88127</v>
      </c>
    </row>
    <row r="131" spans="1:11" ht="15">
      <c r="A131" s="32" t="s">
        <v>639</v>
      </c>
      <c r="B131" t="s">
        <v>190</v>
      </c>
      <c r="C131" t="s">
        <v>640</v>
      </c>
      <c r="D131" t="s">
        <v>641</v>
      </c>
      <c r="E131" t="s">
        <v>227</v>
      </c>
      <c r="F131" t="s">
        <v>268</v>
      </c>
      <c r="G131" s="2">
        <v>45672</v>
      </c>
      <c r="H131">
        <f>COUNTIF(Rendelések!$H$2:$H$188,Ügyfelek!B131)</f>
        <v>2</v>
      </c>
      <c r="I131">
        <f>SUMIF(Rendelések!H131:H317,Ügyfelek!B131,Rendelések!C131:C317)</f>
        <v>2</v>
      </c>
      <c r="J131" t="str">
        <f t="shared" ref="J131:J143" si="2">IF(H131=1,"Egyszeri Vásárló",IF(H131=2,"Visszatérő Vásárló",IF(H131&gt;=3,"VIP")))</f>
        <v>Visszatérő Vásárló</v>
      </c>
      <c r="K131" s="25">
        <f>SUMIF(Rendelések!H131:H317,Ügyfelek!B131,Rendelések!D131:D317)</f>
        <v>160796</v>
      </c>
    </row>
    <row r="132" spans="1:11" ht="15">
      <c r="A132" s="32" t="s">
        <v>642</v>
      </c>
      <c r="B132" t="s">
        <v>191</v>
      </c>
      <c r="C132" t="s">
        <v>643</v>
      </c>
      <c r="D132" t="s">
        <v>644</v>
      </c>
      <c r="E132" t="s">
        <v>227</v>
      </c>
      <c r="F132" t="s">
        <v>268</v>
      </c>
      <c r="G132" s="2">
        <v>44165</v>
      </c>
      <c r="H132">
        <f>COUNTIF(Rendelések!$H$2:$H$188,Ügyfelek!B132)</f>
        <v>1</v>
      </c>
      <c r="I132">
        <f>SUMIF(Rendelések!H132:H318,Ügyfelek!B132,Rendelések!C132:C318)</f>
        <v>1</v>
      </c>
      <c r="J132" t="str">
        <f t="shared" si="2"/>
        <v>Egyszeri Vásárló</v>
      </c>
      <c r="K132" s="25">
        <f>SUMIF(Rendelések!H132:H318,Ügyfelek!B132,Rendelések!D132:D318)</f>
        <v>61035</v>
      </c>
    </row>
    <row r="133" spans="1:11" ht="15">
      <c r="A133" s="32" t="s">
        <v>645</v>
      </c>
      <c r="B133" t="s">
        <v>192</v>
      </c>
      <c r="C133" t="s">
        <v>646</v>
      </c>
      <c r="D133" s="33" t="s">
        <v>647</v>
      </c>
      <c r="E133" t="s">
        <v>357</v>
      </c>
      <c r="F133" t="s">
        <v>605</v>
      </c>
      <c r="G133" s="2">
        <v>45274</v>
      </c>
      <c r="H133">
        <f>COUNTIF(Rendelések!$H$2:$H$188,Ügyfelek!B133)</f>
        <v>1</v>
      </c>
      <c r="I133">
        <f>SUMIF(Rendelések!H133:H319,Ügyfelek!B133,Rendelések!C133:C319)</f>
        <v>1</v>
      </c>
      <c r="J133" t="str">
        <f t="shared" si="2"/>
        <v>Egyszeri Vásárló</v>
      </c>
      <c r="K133" s="25">
        <f>SUMIF(Rendelések!H133:H319,Ügyfelek!B133,Rendelések!D133:D319)</f>
        <v>52504</v>
      </c>
    </row>
    <row r="134" spans="1:11" ht="15">
      <c r="A134" s="32" t="s">
        <v>648</v>
      </c>
      <c r="B134" t="s">
        <v>193</v>
      </c>
      <c r="C134" t="s">
        <v>649</v>
      </c>
      <c r="D134" t="s">
        <v>650</v>
      </c>
      <c r="E134" t="s">
        <v>227</v>
      </c>
      <c r="F134" t="s">
        <v>228</v>
      </c>
      <c r="G134" s="2">
        <v>45434</v>
      </c>
      <c r="H134">
        <f>COUNTIF(Rendelések!$H$2:$H$188,Ügyfelek!B134)</f>
        <v>1</v>
      </c>
      <c r="I134">
        <f>SUMIF(Rendelések!H134:H320,Ügyfelek!B134,Rendelések!C134:C320)</f>
        <v>1</v>
      </c>
      <c r="J134" t="str">
        <f t="shared" si="2"/>
        <v>Egyszeri Vásárló</v>
      </c>
      <c r="K134" s="25">
        <f>SUMIF(Rendelések!H134:H320,Ügyfelek!B134,Rendelések!D134:D320)</f>
        <v>85731</v>
      </c>
    </row>
    <row r="135" spans="1:11" ht="15">
      <c r="A135" s="32" t="s">
        <v>651</v>
      </c>
      <c r="B135" t="s">
        <v>194</v>
      </c>
      <c r="C135" t="s">
        <v>652</v>
      </c>
      <c r="D135" t="s">
        <v>653</v>
      </c>
      <c r="E135" t="s">
        <v>227</v>
      </c>
      <c r="F135" t="s">
        <v>268</v>
      </c>
      <c r="G135" s="2">
        <v>44281</v>
      </c>
      <c r="H135">
        <f>COUNTIF(Rendelések!$H$2:$H$188,Ügyfelek!B135)</f>
        <v>1</v>
      </c>
      <c r="I135">
        <f>SUMIF(Rendelések!H135:H321,Ügyfelek!B135,Rendelések!C135:C321)</f>
        <v>2</v>
      </c>
      <c r="J135" t="str">
        <f t="shared" si="2"/>
        <v>Egyszeri Vásárló</v>
      </c>
      <c r="K135" s="25">
        <f>SUMIF(Rendelések!H135:H321,Ügyfelek!B135,Rendelések!D135:D321)</f>
        <v>176698</v>
      </c>
    </row>
    <row r="136" spans="1:11" ht="15">
      <c r="A136" s="32" t="s">
        <v>654</v>
      </c>
      <c r="B136" t="s">
        <v>195</v>
      </c>
      <c r="C136" t="s">
        <v>655</v>
      </c>
      <c r="D136" t="s">
        <v>656</v>
      </c>
      <c r="E136" t="s">
        <v>227</v>
      </c>
      <c r="F136" t="s">
        <v>268</v>
      </c>
      <c r="G136" s="2">
        <v>44834</v>
      </c>
      <c r="H136">
        <f>COUNTIF(Rendelések!$H$2:$H$188,Ügyfelek!B136)</f>
        <v>1</v>
      </c>
      <c r="I136">
        <f>SUMIF(Rendelések!H136:H322,Ügyfelek!B136,Rendelések!C136:C322)</f>
        <v>1</v>
      </c>
      <c r="J136" t="str">
        <f t="shared" si="2"/>
        <v>Egyszeri Vásárló</v>
      </c>
      <c r="K136" s="25">
        <f>SUMIF(Rendelések!H136:H322,Ügyfelek!B136,Rendelések!D136:D322)</f>
        <v>85841</v>
      </c>
    </row>
    <row r="137" spans="1:11" ht="15">
      <c r="A137" s="32" t="s">
        <v>657</v>
      </c>
      <c r="B137" t="s">
        <v>196</v>
      </c>
      <c r="C137" t="s">
        <v>658</v>
      </c>
      <c r="D137" t="s">
        <v>659</v>
      </c>
      <c r="E137" t="s">
        <v>240</v>
      </c>
      <c r="F137" t="s">
        <v>660</v>
      </c>
      <c r="G137" s="2">
        <v>45811</v>
      </c>
      <c r="H137">
        <f>COUNTIF(Rendelések!$H$2:$H$188,Ügyfelek!B137)</f>
        <v>1</v>
      </c>
      <c r="I137">
        <f>SUMIF(Rendelések!H137:H323,Ügyfelek!B137,Rendelések!C137:C323)</f>
        <v>1</v>
      </c>
      <c r="J137" t="str">
        <f t="shared" si="2"/>
        <v>Egyszeri Vásárló</v>
      </c>
      <c r="K137" s="25">
        <f>SUMIF(Rendelések!H137:H323,Ügyfelek!B137,Rendelések!D137:D323)</f>
        <v>85841</v>
      </c>
    </row>
    <row r="138" spans="1:11" ht="15">
      <c r="A138" s="32" t="s">
        <v>661</v>
      </c>
      <c r="B138" t="s">
        <v>197</v>
      </c>
      <c r="C138" t="s">
        <v>662</v>
      </c>
      <c r="D138" t="s">
        <v>663</v>
      </c>
      <c r="E138" t="s">
        <v>227</v>
      </c>
      <c r="F138" t="s">
        <v>236</v>
      </c>
      <c r="G138" s="2">
        <v>43985</v>
      </c>
      <c r="H138">
        <f>COUNTIF(Rendelések!$H$2:$H$188,Ügyfelek!B138)</f>
        <v>1</v>
      </c>
      <c r="I138">
        <f>SUMIF(Rendelések!H138:H324,Ügyfelek!B138,Rendelések!C138:C324)</f>
        <v>3</v>
      </c>
      <c r="J138" t="str">
        <f t="shared" si="2"/>
        <v>Egyszeri Vásárló</v>
      </c>
      <c r="K138" s="25">
        <f>SUMIF(Rendelések!H138:H324,Ügyfelek!B138,Rendelések!D138:D324)</f>
        <v>282741</v>
      </c>
    </row>
    <row r="139" spans="1:11" ht="15">
      <c r="A139" s="32" t="s">
        <v>664</v>
      </c>
      <c r="B139" t="s">
        <v>198</v>
      </c>
      <c r="C139" t="s">
        <v>665</v>
      </c>
      <c r="D139" s="33" t="s">
        <v>666</v>
      </c>
      <c r="E139" t="s">
        <v>380</v>
      </c>
      <c r="F139" t="s">
        <v>381</v>
      </c>
      <c r="G139" s="2">
        <v>45165</v>
      </c>
      <c r="H139">
        <f>COUNTIF(Rendelések!$H$2:$H$188,Ügyfelek!B139)</f>
        <v>1</v>
      </c>
      <c r="I139">
        <f>SUMIF(Rendelések!H139:H325,Ügyfelek!B139,Rendelések!C139:C325)</f>
        <v>1</v>
      </c>
      <c r="J139" t="str">
        <f t="shared" si="2"/>
        <v>Egyszeri Vásárló</v>
      </c>
      <c r="K139" s="25">
        <f>SUMIF(Rendelések!H139:H325,Ügyfelek!B139,Rendelések!D139:D325)</f>
        <v>51340</v>
      </c>
    </row>
    <row r="140" spans="1:11" ht="15">
      <c r="A140" s="32" t="s">
        <v>667</v>
      </c>
      <c r="B140" t="s">
        <v>199</v>
      </c>
      <c r="C140" t="s">
        <v>668</v>
      </c>
      <c r="D140" t="s">
        <v>669</v>
      </c>
      <c r="E140" t="s">
        <v>227</v>
      </c>
      <c r="F140" t="s">
        <v>268</v>
      </c>
      <c r="G140" s="2">
        <v>45323</v>
      </c>
      <c r="H140">
        <f>COUNTIF(Rendelések!$H$2:$H$188,Ügyfelek!B140)</f>
        <v>1</v>
      </c>
      <c r="I140">
        <f>SUMIF(Rendelések!H140:H326,Ügyfelek!B140,Rendelések!C140:C326)</f>
        <v>1</v>
      </c>
      <c r="J140" t="str">
        <f t="shared" si="2"/>
        <v>Egyszeri Vásárló</v>
      </c>
      <c r="K140" s="25">
        <f>SUMIF(Rendelések!H140:H326,Ügyfelek!B140,Rendelések!D140:D326)</f>
        <v>64014</v>
      </c>
    </row>
    <row r="141" spans="1:11" ht="15">
      <c r="A141" s="32" t="s">
        <v>670</v>
      </c>
      <c r="B141" t="s">
        <v>200</v>
      </c>
      <c r="C141" t="s">
        <v>671</v>
      </c>
      <c r="D141" t="s">
        <v>672</v>
      </c>
      <c r="E141" t="s">
        <v>227</v>
      </c>
      <c r="F141" t="s">
        <v>295</v>
      </c>
      <c r="G141" s="2">
        <v>44511</v>
      </c>
      <c r="H141">
        <f>COUNTIF(Rendelések!$H$2:$H$188,Ügyfelek!B141)</f>
        <v>1</v>
      </c>
      <c r="I141">
        <f>SUMIF(Rendelések!H141:H327,Ügyfelek!B141,Rendelések!C141:C327)</f>
        <v>1</v>
      </c>
      <c r="J141" t="str">
        <f t="shared" si="2"/>
        <v>Egyszeri Vásárló</v>
      </c>
      <c r="K141" s="25">
        <f>SUMIF(Rendelések!H141:H327,Ügyfelek!B141,Rendelések!D141:D327)</f>
        <v>61035</v>
      </c>
    </row>
    <row r="142" spans="1:11" ht="15">
      <c r="A142" s="32" t="s">
        <v>673</v>
      </c>
      <c r="B142" t="s">
        <v>201</v>
      </c>
      <c r="C142" t="s">
        <v>674</v>
      </c>
      <c r="D142" t="s">
        <v>675</v>
      </c>
      <c r="E142" t="s">
        <v>227</v>
      </c>
      <c r="F142" t="s">
        <v>245</v>
      </c>
      <c r="G142" s="2">
        <v>44678</v>
      </c>
      <c r="H142">
        <f>COUNTIF(Rendelések!$H$2:$H$188,Ügyfelek!B142)</f>
        <v>1</v>
      </c>
      <c r="I142">
        <f>SUMIF(Rendelések!H142:H328,Ügyfelek!B142,Rendelések!C142:C328)</f>
        <v>1</v>
      </c>
      <c r="J142" t="str">
        <f t="shared" si="2"/>
        <v>Egyszeri Vásárló</v>
      </c>
      <c r="K142" s="25">
        <f>SUMIF(Rendelések!H142:H328,Ügyfelek!B142,Rendelések!D142:D328)</f>
        <v>71296</v>
      </c>
    </row>
    <row r="143" spans="1:11" ht="15">
      <c r="A143" s="35" t="s">
        <v>676</v>
      </c>
      <c r="B143" s="27" t="s">
        <v>202</v>
      </c>
      <c r="C143" s="27" t="s">
        <v>677</v>
      </c>
      <c r="D143" s="27" t="s">
        <v>678</v>
      </c>
      <c r="E143" s="27" t="s">
        <v>227</v>
      </c>
      <c r="F143" s="27" t="s">
        <v>228</v>
      </c>
      <c r="G143" s="36">
        <v>46021</v>
      </c>
      <c r="H143" s="27">
        <f>COUNTIF(Rendelések!$H$2:$H$188,Ügyfelek!B143)</f>
        <v>1</v>
      </c>
      <c r="I143" s="27">
        <f>SUMIF(Rendelések!H143:H329,Ügyfelek!B143,Rendelések!C143:C329)</f>
        <v>1</v>
      </c>
      <c r="J143" s="27" t="str">
        <f t="shared" si="2"/>
        <v>Egyszeri Vásárló</v>
      </c>
      <c r="K143" s="31">
        <f>SUMIF(Rendelések!H143:H329,Ügyfelek!B143,Rendelések!D143:D329)</f>
        <v>62340</v>
      </c>
    </row>
    <row r="189" spans="1:1" ht="15">
      <c r="A189" s="5"/>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F2809-767A-48CA-AF7C-0C710336E4BA}">
  <dimension ref="A3:D178"/>
  <sheetViews>
    <sheetView workbookViewId="0">
      <selection activeCell="E19" sqref="E19"/>
    </sheetView>
  </sheetViews>
  <sheetFormatPr defaultRowHeight="14.4"/>
  <cols>
    <col min="1" max="1" width="21.109375" bestFit="1" customWidth="1"/>
    <col min="2" max="2" width="14.33203125" bestFit="1" customWidth="1"/>
    <col min="3" max="3" width="18.109375" bestFit="1" customWidth="1"/>
    <col min="4" max="4" width="12.33203125" bestFit="1" customWidth="1"/>
    <col min="5" max="5" width="23.6640625" bestFit="1" customWidth="1"/>
    <col min="6" max="6" width="18.5546875" bestFit="1" customWidth="1"/>
  </cols>
  <sheetData>
    <row r="3" spans="1:4">
      <c r="A3" s="6" t="s">
        <v>679</v>
      </c>
      <c r="B3" t="s">
        <v>680</v>
      </c>
      <c r="C3" t="s">
        <v>681</v>
      </c>
      <c r="D3" t="s">
        <v>682</v>
      </c>
    </row>
    <row r="4" spans="1:4">
      <c r="A4" s="7" t="s">
        <v>343</v>
      </c>
      <c r="B4">
        <v>6</v>
      </c>
      <c r="C4">
        <v>12</v>
      </c>
      <c r="D4">
        <v>1057386</v>
      </c>
    </row>
    <row r="5" spans="1:4">
      <c r="A5" s="8" t="s">
        <v>476</v>
      </c>
      <c r="B5">
        <v>2</v>
      </c>
      <c r="C5">
        <v>5</v>
      </c>
      <c r="D5">
        <v>460633</v>
      </c>
    </row>
    <row r="6" spans="1:4">
      <c r="A6" s="11" t="s">
        <v>136</v>
      </c>
      <c r="B6">
        <v>2</v>
      </c>
      <c r="C6">
        <v>5</v>
      </c>
      <c r="D6">
        <v>460633</v>
      </c>
    </row>
    <row r="7" spans="1:4">
      <c r="A7" s="8" t="s">
        <v>344</v>
      </c>
      <c r="B7">
        <v>4</v>
      </c>
      <c r="C7">
        <v>7</v>
      </c>
      <c r="D7">
        <v>596753</v>
      </c>
    </row>
    <row r="8" spans="1:4">
      <c r="A8" s="11" t="s">
        <v>185</v>
      </c>
      <c r="B8">
        <v>1</v>
      </c>
      <c r="C8">
        <v>1</v>
      </c>
      <c r="D8">
        <v>80751</v>
      </c>
    </row>
    <row r="9" spans="1:4">
      <c r="A9" s="11" t="s">
        <v>95</v>
      </c>
      <c r="B9">
        <v>3</v>
      </c>
      <c r="C9">
        <v>6</v>
      </c>
      <c r="D9">
        <v>516002</v>
      </c>
    </row>
    <row r="10" spans="1:4">
      <c r="A10" s="7" t="s">
        <v>380</v>
      </c>
      <c r="B10">
        <v>8</v>
      </c>
      <c r="C10">
        <v>14</v>
      </c>
      <c r="D10">
        <v>977436</v>
      </c>
    </row>
    <row r="11" spans="1:4">
      <c r="A11" s="8" t="s">
        <v>416</v>
      </c>
      <c r="B11">
        <v>4</v>
      </c>
      <c r="C11">
        <v>4</v>
      </c>
      <c r="D11">
        <v>296405</v>
      </c>
    </row>
    <row r="12" spans="1:4">
      <c r="A12" s="11" t="s">
        <v>149</v>
      </c>
      <c r="B12">
        <v>1</v>
      </c>
      <c r="C12">
        <v>1</v>
      </c>
      <c r="D12">
        <v>74578</v>
      </c>
    </row>
    <row r="13" spans="1:4">
      <c r="A13" s="11" t="s">
        <v>117</v>
      </c>
      <c r="B13">
        <v>3</v>
      </c>
      <c r="C13">
        <v>3</v>
      </c>
      <c r="D13">
        <v>221827</v>
      </c>
    </row>
    <row r="14" spans="1:4">
      <c r="A14" s="8" t="s">
        <v>538</v>
      </c>
      <c r="B14">
        <v>1</v>
      </c>
      <c r="C14">
        <v>2</v>
      </c>
      <c r="D14">
        <v>128028</v>
      </c>
    </row>
    <row r="15" spans="1:4">
      <c r="A15" s="11" t="s">
        <v>156</v>
      </c>
      <c r="B15">
        <v>1</v>
      </c>
      <c r="C15">
        <v>2</v>
      </c>
      <c r="D15">
        <v>128028</v>
      </c>
    </row>
    <row r="16" spans="1:4">
      <c r="A16" s="8" t="s">
        <v>381</v>
      </c>
      <c r="B16">
        <v>3</v>
      </c>
      <c r="C16">
        <v>8</v>
      </c>
      <c r="D16">
        <v>553003</v>
      </c>
    </row>
    <row r="17" spans="1:4">
      <c r="A17" s="11" t="s">
        <v>106</v>
      </c>
      <c r="B17">
        <v>2</v>
      </c>
      <c r="C17">
        <v>7</v>
      </c>
      <c r="D17">
        <v>501663</v>
      </c>
    </row>
    <row r="18" spans="1:4">
      <c r="A18" s="11" t="s">
        <v>198</v>
      </c>
      <c r="B18">
        <v>1</v>
      </c>
      <c r="C18">
        <v>1</v>
      </c>
      <c r="D18">
        <v>51340</v>
      </c>
    </row>
    <row r="19" spans="1:4">
      <c r="A19" s="7" t="s">
        <v>227</v>
      </c>
      <c r="B19">
        <v>140</v>
      </c>
      <c r="C19">
        <v>300</v>
      </c>
      <c r="D19">
        <v>22979327</v>
      </c>
    </row>
    <row r="20" spans="1:4">
      <c r="A20" s="8" t="s">
        <v>268</v>
      </c>
      <c r="B20">
        <v>17</v>
      </c>
      <c r="C20">
        <v>43</v>
      </c>
      <c r="D20">
        <v>3353020</v>
      </c>
    </row>
    <row r="21" spans="1:4">
      <c r="A21" s="11" t="s">
        <v>134</v>
      </c>
      <c r="B21">
        <v>1</v>
      </c>
      <c r="C21">
        <v>2</v>
      </c>
      <c r="D21">
        <v>198210</v>
      </c>
    </row>
    <row r="22" spans="1:4">
      <c r="A22" s="11" t="s">
        <v>73</v>
      </c>
      <c r="B22">
        <v>1</v>
      </c>
      <c r="C22">
        <v>3</v>
      </c>
      <c r="D22">
        <v>266838</v>
      </c>
    </row>
    <row r="23" spans="1:4">
      <c r="A23" s="11" t="s">
        <v>190</v>
      </c>
      <c r="B23">
        <v>2</v>
      </c>
      <c r="C23">
        <v>2</v>
      </c>
      <c r="D23">
        <v>160796</v>
      </c>
    </row>
    <row r="24" spans="1:4">
      <c r="A24" s="11" t="s">
        <v>195</v>
      </c>
      <c r="B24">
        <v>1</v>
      </c>
      <c r="C24">
        <v>1</v>
      </c>
      <c r="D24">
        <v>85841</v>
      </c>
    </row>
    <row r="25" spans="1:4">
      <c r="A25" s="11" t="s">
        <v>103</v>
      </c>
      <c r="B25">
        <v>1</v>
      </c>
      <c r="C25">
        <v>5</v>
      </c>
      <c r="D25">
        <v>403755</v>
      </c>
    </row>
    <row r="26" spans="1:4">
      <c r="A26" s="11" t="s">
        <v>194</v>
      </c>
      <c r="B26">
        <v>1</v>
      </c>
      <c r="C26">
        <v>2</v>
      </c>
      <c r="D26">
        <v>176698</v>
      </c>
    </row>
    <row r="27" spans="1:4">
      <c r="A27" s="11" t="s">
        <v>128</v>
      </c>
      <c r="B27">
        <v>1</v>
      </c>
      <c r="C27">
        <v>4</v>
      </c>
      <c r="D27">
        <v>210016</v>
      </c>
    </row>
    <row r="28" spans="1:4">
      <c r="A28" s="11" t="s">
        <v>122</v>
      </c>
      <c r="B28">
        <v>1</v>
      </c>
      <c r="C28">
        <v>5</v>
      </c>
      <c r="D28">
        <v>429205</v>
      </c>
    </row>
    <row r="29" spans="1:4">
      <c r="A29" s="11" t="s">
        <v>191</v>
      </c>
      <c r="B29">
        <v>1</v>
      </c>
      <c r="C29">
        <v>1</v>
      </c>
      <c r="D29">
        <v>61035</v>
      </c>
    </row>
    <row r="30" spans="1:4">
      <c r="A30" s="11" t="s">
        <v>124</v>
      </c>
      <c r="B30">
        <v>1</v>
      </c>
      <c r="C30">
        <v>3</v>
      </c>
      <c r="D30">
        <v>264381</v>
      </c>
    </row>
    <row r="31" spans="1:4">
      <c r="A31" s="11" t="s">
        <v>158</v>
      </c>
      <c r="B31">
        <v>1</v>
      </c>
      <c r="C31">
        <v>3</v>
      </c>
      <c r="D31">
        <v>290346</v>
      </c>
    </row>
    <row r="32" spans="1:4">
      <c r="A32" s="11" t="s">
        <v>94</v>
      </c>
      <c r="B32">
        <v>1</v>
      </c>
      <c r="C32">
        <v>3</v>
      </c>
      <c r="D32">
        <v>223734</v>
      </c>
    </row>
    <row r="33" spans="1:4">
      <c r="A33" s="11" t="s">
        <v>84</v>
      </c>
      <c r="B33">
        <v>1</v>
      </c>
      <c r="C33">
        <v>3</v>
      </c>
      <c r="D33">
        <v>213888</v>
      </c>
    </row>
    <row r="34" spans="1:4">
      <c r="A34" s="11" t="s">
        <v>74</v>
      </c>
      <c r="B34">
        <v>2</v>
      </c>
      <c r="C34">
        <v>5</v>
      </c>
      <c r="D34">
        <v>304263</v>
      </c>
    </row>
    <row r="35" spans="1:4">
      <c r="A35" s="11" t="s">
        <v>199</v>
      </c>
      <c r="B35">
        <v>1</v>
      </c>
      <c r="C35">
        <v>1</v>
      </c>
      <c r="D35">
        <v>64014</v>
      </c>
    </row>
    <row r="36" spans="1:4">
      <c r="A36" s="8" t="s">
        <v>245</v>
      </c>
      <c r="B36">
        <v>29</v>
      </c>
      <c r="C36">
        <v>62</v>
      </c>
      <c r="D36">
        <v>4993319</v>
      </c>
    </row>
    <row r="37" spans="1:4">
      <c r="A37" s="11" t="s">
        <v>137</v>
      </c>
      <c r="B37">
        <v>1</v>
      </c>
      <c r="C37">
        <v>4</v>
      </c>
      <c r="D37">
        <v>376988</v>
      </c>
    </row>
    <row r="38" spans="1:4">
      <c r="A38" s="11" t="s">
        <v>96</v>
      </c>
      <c r="B38">
        <v>1</v>
      </c>
      <c r="C38">
        <v>4</v>
      </c>
      <c r="D38">
        <v>378896</v>
      </c>
    </row>
    <row r="39" spans="1:4">
      <c r="A39" s="11" t="s">
        <v>119</v>
      </c>
      <c r="B39">
        <v>2</v>
      </c>
      <c r="C39">
        <v>5</v>
      </c>
      <c r="D39">
        <v>306648</v>
      </c>
    </row>
    <row r="40" spans="1:4">
      <c r="A40" s="11" t="s">
        <v>97</v>
      </c>
      <c r="B40">
        <v>2</v>
      </c>
      <c r="C40">
        <v>5</v>
      </c>
      <c r="D40">
        <v>428340</v>
      </c>
    </row>
    <row r="41" spans="1:4">
      <c r="A41" s="11" t="s">
        <v>135</v>
      </c>
      <c r="B41">
        <v>2</v>
      </c>
      <c r="C41">
        <v>5</v>
      </c>
      <c r="D41">
        <v>307676</v>
      </c>
    </row>
    <row r="42" spans="1:4">
      <c r="A42" s="11" t="s">
        <v>108</v>
      </c>
      <c r="B42">
        <v>2</v>
      </c>
      <c r="C42">
        <v>6</v>
      </c>
      <c r="D42">
        <v>473310</v>
      </c>
    </row>
    <row r="43" spans="1:4">
      <c r="A43" s="11" t="s">
        <v>141</v>
      </c>
      <c r="B43">
        <v>1</v>
      </c>
      <c r="C43">
        <v>3</v>
      </c>
      <c r="D43">
        <v>293583</v>
      </c>
    </row>
    <row r="44" spans="1:4">
      <c r="A44" s="11" t="s">
        <v>166</v>
      </c>
      <c r="B44">
        <v>1</v>
      </c>
      <c r="C44">
        <v>2</v>
      </c>
      <c r="D44">
        <v>189448</v>
      </c>
    </row>
    <row r="45" spans="1:4">
      <c r="A45" s="11" t="s">
        <v>98</v>
      </c>
      <c r="B45">
        <v>1</v>
      </c>
      <c r="C45">
        <v>2</v>
      </c>
      <c r="D45">
        <v>188494</v>
      </c>
    </row>
    <row r="46" spans="1:4">
      <c r="A46" s="11" t="s">
        <v>153</v>
      </c>
      <c r="B46">
        <v>1</v>
      </c>
      <c r="C46">
        <v>3</v>
      </c>
      <c r="D46">
        <v>257523</v>
      </c>
    </row>
    <row r="47" spans="1:4">
      <c r="A47" s="11" t="s">
        <v>67</v>
      </c>
      <c r="B47">
        <v>1</v>
      </c>
      <c r="C47">
        <v>2</v>
      </c>
      <c r="D47">
        <v>124680</v>
      </c>
    </row>
    <row r="48" spans="1:4">
      <c r="A48" s="11" t="s">
        <v>72</v>
      </c>
      <c r="B48">
        <v>3</v>
      </c>
      <c r="C48">
        <v>6</v>
      </c>
      <c r="D48">
        <v>543860</v>
      </c>
    </row>
    <row r="49" spans="1:4">
      <c r="A49" s="11" t="s">
        <v>168</v>
      </c>
      <c r="B49">
        <v>1</v>
      </c>
      <c r="C49">
        <v>1</v>
      </c>
      <c r="D49">
        <v>99105</v>
      </c>
    </row>
    <row r="50" spans="1:4">
      <c r="A50" s="11" t="s">
        <v>175</v>
      </c>
      <c r="B50">
        <v>1</v>
      </c>
      <c r="C50">
        <v>1</v>
      </c>
      <c r="D50">
        <v>97861</v>
      </c>
    </row>
    <row r="51" spans="1:4">
      <c r="A51" s="11" t="s">
        <v>201</v>
      </c>
      <c r="B51">
        <v>1</v>
      </c>
      <c r="C51">
        <v>1</v>
      </c>
      <c r="D51">
        <v>71296</v>
      </c>
    </row>
    <row r="52" spans="1:4">
      <c r="A52" s="11" t="s">
        <v>69</v>
      </c>
      <c r="B52">
        <v>1</v>
      </c>
      <c r="C52">
        <v>1</v>
      </c>
      <c r="D52">
        <v>52504</v>
      </c>
    </row>
    <row r="53" spans="1:4">
      <c r="A53" s="11" t="s">
        <v>167</v>
      </c>
      <c r="B53">
        <v>1</v>
      </c>
      <c r="C53">
        <v>1</v>
      </c>
      <c r="D53">
        <v>74578</v>
      </c>
    </row>
    <row r="54" spans="1:4">
      <c r="A54" s="11" t="s">
        <v>140</v>
      </c>
      <c r="B54">
        <v>1</v>
      </c>
      <c r="C54">
        <v>2</v>
      </c>
      <c r="D54">
        <v>176698</v>
      </c>
    </row>
    <row r="55" spans="1:4">
      <c r="A55" s="11" t="s">
        <v>138</v>
      </c>
      <c r="B55">
        <v>1</v>
      </c>
      <c r="C55">
        <v>3</v>
      </c>
      <c r="D55">
        <v>176124</v>
      </c>
    </row>
    <row r="56" spans="1:4">
      <c r="A56" s="11" t="s">
        <v>102</v>
      </c>
      <c r="B56">
        <v>1</v>
      </c>
      <c r="C56">
        <v>1</v>
      </c>
      <c r="D56">
        <v>58708</v>
      </c>
    </row>
    <row r="57" spans="1:4">
      <c r="A57" s="11" t="s">
        <v>100</v>
      </c>
      <c r="B57">
        <v>1</v>
      </c>
      <c r="C57">
        <v>2</v>
      </c>
      <c r="D57">
        <v>128028</v>
      </c>
    </row>
    <row r="58" spans="1:4">
      <c r="A58" s="11" t="s">
        <v>120</v>
      </c>
      <c r="B58">
        <v>2</v>
      </c>
      <c r="C58">
        <v>2</v>
      </c>
      <c r="D58">
        <v>188971</v>
      </c>
    </row>
    <row r="59" spans="1:4">
      <c r="A59" s="8" t="s">
        <v>295</v>
      </c>
      <c r="B59">
        <v>17</v>
      </c>
      <c r="C59">
        <v>40</v>
      </c>
      <c r="D59">
        <v>3149470</v>
      </c>
    </row>
    <row r="60" spans="1:4">
      <c r="A60" s="11" t="s">
        <v>164</v>
      </c>
      <c r="B60">
        <v>1</v>
      </c>
      <c r="C60">
        <v>3</v>
      </c>
      <c r="D60">
        <v>192042</v>
      </c>
    </row>
    <row r="61" spans="1:4">
      <c r="A61" s="11" t="s">
        <v>177</v>
      </c>
      <c r="B61">
        <v>1</v>
      </c>
      <c r="C61">
        <v>3</v>
      </c>
      <c r="D61">
        <v>290346</v>
      </c>
    </row>
    <row r="62" spans="1:4">
      <c r="A62" s="11" t="s">
        <v>101</v>
      </c>
      <c r="B62">
        <v>1</v>
      </c>
      <c r="C62">
        <v>2</v>
      </c>
      <c r="D62">
        <v>171682</v>
      </c>
    </row>
    <row r="63" spans="1:4">
      <c r="A63" s="11" t="s">
        <v>200</v>
      </c>
      <c r="B63">
        <v>1</v>
      </c>
      <c r="C63">
        <v>1</v>
      </c>
      <c r="D63">
        <v>61035</v>
      </c>
    </row>
    <row r="64" spans="1:4">
      <c r="A64" s="11" t="s">
        <v>169</v>
      </c>
      <c r="B64">
        <v>1</v>
      </c>
      <c r="C64">
        <v>1</v>
      </c>
      <c r="D64">
        <v>63536</v>
      </c>
    </row>
    <row r="65" spans="1:4">
      <c r="A65" s="11" t="s">
        <v>114</v>
      </c>
      <c r="B65">
        <v>1</v>
      </c>
      <c r="C65">
        <v>2</v>
      </c>
      <c r="D65">
        <v>189448</v>
      </c>
    </row>
    <row r="66" spans="1:4">
      <c r="A66" s="11" t="s">
        <v>116</v>
      </c>
      <c r="B66">
        <v>1</v>
      </c>
      <c r="C66">
        <v>1</v>
      </c>
      <c r="D66">
        <v>74578</v>
      </c>
    </row>
    <row r="67" spans="1:4">
      <c r="A67" s="11" t="s">
        <v>81</v>
      </c>
      <c r="B67">
        <v>2</v>
      </c>
      <c r="C67">
        <v>5</v>
      </c>
      <c r="D67">
        <v>375508</v>
      </c>
    </row>
    <row r="68" spans="1:4">
      <c r="A68" s="11" t="s">
        <v>180</v>
      </c>
      <c r="B68">
        <v>1</v>
      </c>
      <c r="C68">
        <v>4</v>
      </c>
      <c r="D68">
        <v>342924</v>
      </c>
    </row>
    <row r="69" spans="1:4">
      <c r="A69" s="11" t="s">
        <v>145</v>
      </c>
      <c r="B69">
        <v>1</v>
      </c>
      <c r="C69">
        <v>2</v>
      </c>
      <c r="D69">
        <v>124680</v>
      </c>
    </row>
    <row r="70" spans="1:4">
      <c r="A70" s="11" t="s">
        <v>85</v>
      </c>
      <c r="B70">
        <v>1</v>
      </c>
      <c r="C70">
        <v>4</v>
      </c>
      <c r="D70">
        <v>342924</v>
      </c>
    </row>
    <row r="71" spans="1:4">
      <c r="A71" s="11" t="s">
        <v>160</v>
      </c>
      <c r="B71">
        <v>2</v>
      </c>
      <c r="C71">
        <v>4</v>
      </c>
      <c r="D71">
        <v>328819</v>
      </c>
    </row>
    <row r="72" spans="1:4">
      <c r="A72" s="11" t="s">
        <v>90</v>
      </c>
      <c r="B72">
        <v>1</v>
      </c>
      <c r="C72">
        <v>4</v>
      </c>
      <c r="D72">
        <v>210016</v>
      </c>
    </row>
    <row r="73" spans="1:4">
      <c r="A73" s="11" t="s">
        <v>176</v>
      </c>
      <c r="B73">
        <v>1</v>
      </c>
      <c r="C73">
        <v>1</v>
      </c>
      <c r="D73">
        <v>88349</v>
      </c>
    </row>
    <row r="74" spans="1:4">
      <c r="A74" s="11" t="s">
        <v>107</v>
      </c>
      <c r="B74">
        <v>1</v>
      </c>
      <c r="C74">
        <v>3</v>
      </c>
      <c r="D74">
        <v>293583</v>
      </c>
    </row>
    <row r="75" spans="1:4">
      <c r="A75" s="8" t="s">
        <v>236</v>
      </c>
      <c r="B75">
        <v>20</v>
      </c>
      <c r="C75">
        <v>45</v>
      </c>
      <c r="D75">
        <v>3357392</v>
      </c>
    </row>
    <row r="76" spans="1:4">
      <c r="A76" s="11" t="s">
        <v>170</v>
      </c>
      <c r="B76">
        <v>1</v>
      </c>
      <c r="C76">
        <v>2</v>
      </c>
      <c r="D76">
        <v>177892</v>
      </c>
    </row>
    <row r="77" spans="1:4">
      <c r="A77" s="11" t="s">
        <v>172</v>
      </c>
      <c r="B77">
        <v>1</v>
      </c>
      <c r="C77">
        <v>2</v>
      </c>
      <c r="D77">
        <v>117416</v>
      </c>
    </row>
    <row r="78" spans="1:4">
      <c r="A78" s="11" t="s">
        <v>76</v>
      </c>
      <c r="B78">
        <v>1</v>
      </c>
      <c r="C78">
        <v>1</v>
      </c>
      <c r="D78">
        <v>85841</v>
      </c>
    </row>
    <row r="79" spans="1:4">
      <c r="A79" s="11" t="s">
        <v>80</v>
      </c>
      <c r="B79">
        <v>1</v>
      </c>
      <c r="C79">
        <v>1</v>
      </c>
      <c r="D79">
        <v>64014</v>
      </c>
    </row>
    <row r="80" spans="1:4">
      <c r="A80" s="11" t="s">
        <v>112</v>
      </c>
      <c r="B80">
        <v>1</v>
      </c>
      <c r="C80">
        <v>5</v>
      </c>
      <c r="D80">
        <v>311700</v>
      </c>
    </row>
    <row r="81" spans="1:4">
      <c r="A81" s="11" t="s">
        <v>186</v>
      </c>
      <c r="B81">
        <v>1</v>
      </c>
      <c r="C81">
        <v>4</v>
      </c>
      <c r="D81">
        <v>298312</v>
      </c>
    </row>
    <row r="82" spans="1:4">
      <c r="A82" s="11" t="s">
        <v>197</v>
      </c>
      <c r="B82">
        <v>1</v>
      </c>
      <c r="C82">
        <v>3</v>
      </c>
      <c r="D82">
        <v>282741</v>
      </c>
    </row>
    <row r="83" spans="1:4">
      <c r="A83" s="11" t="s">
        <v>143</v>
      </c>
      <c r="B83">
        <v>1</v>
      </c>
      <c r="C83">
        <v>4</v>
      </c>
      <c r="D83">
        <v>342924</v>
      </c>
    </row>
    <row r="84" spans="1:4">
      <c r="A84" s="11" t="s">
        <v>123</v>
      </c>
      <c r="B84">
        <v>2</v>
      </c>
      <c r="C84">
        <v>5</v>
      </c>
      <c r="D84">
        <v>426549</v>
      </c>
    </row>
    <row r="85" spans="1:4">
      <c r="A85" s="11" t="s">
        <v>105</v>
      </c>
      <c r="B85">
        <v>1</v>
      </c>
      <c r="C85">
        <v>2</v>
      </c>
      <c r="D85">
        <v>105008</v>
      </c>
    </row>
    <row r="86" spans="1:4">
      <c r="A86" s="11" t="s">
        <v>130</v>
      </c>
      <c r="B86">
        <v>1</v>
      </c>
      <c r="C86">
        <v>1</v>
      </c>
      <c r="D86">
        <v>51340</v>
      </c>
    </row>
    <row r="87" spans="1:4">
      <c r="A87" s="11" t="s">
        <v>182</v>
      </c>
      <c r="B87">
        <v>1</v>
      </c>
      <c r="C87">
        <v>3</v>
      </c>
      <c r="D87">
        <v>259422</v>
      </c>
    </row>
    <row r="88" spans="1:4">
      <c r="A88" s="11" t="s">
        <v>64</v>
      </c>
      <c r="B88">
        <v>3</v>
      </c>
      <c r="C88">
        <v>5</v>
      </c>
      <c r="D88">
        <v>384437</v>
      </c>
    </row>
    <row r="89" spans="1:4">
      <c r="A89" s="11" t="s">
        <v>110</v>
      </c>
      <c r="B89">
        <v>1</v>
      </c>
      <c r="C89">
        <v>3</v>
      </c>
      <c r="D89">
        <v>154020</v>
      </c>
    </row>
    <row r="90" spans="1:4">
      <c r="A90" s="11" t="s">
        <v>75</v>
      </c>
      <c r="B90">
        <v>2</v>
      </c>
      <c r="C90">
        <v>2</v>
      </c>
      <c r="D90">
        <v>178360</v>
      </c>
    </row>
    <row r="91" spans="1:4">
      <c r="A91" s="11" t="s">
        <v>188</v>
      </c>
      <c r="B91">
        <v>1</v>
      </c>
      <c r="C91">
        <v>2</v>
      </c>
      <c r="D91">
        <v>117416</v>
      </c>
    </row>
    <row r="92" spans="1:4">
      <c r="A92" s="8" t="s">
        <v>249</v>
      </c>
      <c r="B92">
        <v>31</v>
      </c>
      <c r="C92">
        <v>60</v>
      </c>
      <c r="D92">
        <v>4559716</v>
      </c>
    </row>
    <row r="93" spans="1:4">
      <c r="A93" s="11" t="s">
        <v>150</v>
      </c>
      <c r="B93">
        <v>1</v>
      </c>
      <c r="C93">
        <v>1</v>
      </c>
      <c r="D93">
        <v>80499</v>
      </c>
    </row>
    <row r="94" spans="1:4">
      <c r="A94" s="11" t="s">
        <v>139</v>
      </c>
      <c r="B94">
        <v>1</v>
      </c>
      <c r="C94">
        <v>1</v>
      </c>
      <c r="D94">
        <v>64014</v>
      </c>
    </row>
    <row r="95" spans="1:4">
      <c r="A95" s="11" t="s">
        <v>115</v>
      </c>
      <c r="B95">
        <v>1</v>
      </c>
      <c r="C95">
        <v>1</v>
      </c>
      <c r="D95">
        <v>80751</v>
      </c>
    </row>
    <row r="96" spans="1:4">
      <c r="A96" s="11" t="s">
        <v>183</v>
      </c>
      <c r="B96">
        <v>1</v>
      </c>
      <c r="C96">
        <v>1</v>
      </c>
      <c r="D96">
        <v>64014</v>
      </c>
    </row>
    <row r="97" spans="1:4">
      <c r="A97" s="11" t="s">
        <v>79</v>
      </c>
      <c r="B97">
        <v>2</v>
      </c>
      <c r="C97">
        <v>7</v>
      </c>
      <c r="D97">
        <v>509187</v>
      </c>
    </row>
    <row r="98" spans="1:4">
      <c r="A98" s="11" t="s">
        <v>157</v>
      </c>
      <c r="B98">
        <v>1</v>
      </c>
      <c r="C98">
        <v>1</v>
      </c>
      <c r="D98">
        <v>88349</v>
      </c>
    </row>
    <row r="99" spans="1:4">
      <c r="A99" s="11" t="s">
        <v>146</v>
      </c>
      <c r="B99">
        <v>2</v>
      </c>
      <c r="C99">
        <v>4</v>
      </c>
      <c r="D99">
        <v>311926</v>
      </c>
    </row>
    <row r="100" spans="1:4">
      <c r="A100" s="11" t="s">
        <v>70</v>
      </c>
      <c r="B100">
        <v>1</v>
      </c>
      <c r="C100">
        <v>1</v>
      </c>
      <c r="D100">
        <v>58708</v>
      </c>
    </row>
    <row r="101" spans="1:4">
      <c r="A101" s="11" t="s">
        <v>113</v>
      </c>
      <c r="B101">
        <v>1</v>
      </c>
      <c r="C101">
        <v>4</v>
      </c>
      <c r="D101">
        <v>210016</v>
      </c>
    </row>
    <row r="102" spans="1:4">
      <c r="A102" s="11" t="s">
        <v>71</v>
      </c>
      <c r="B102">
        <v>1</v>
      </c>
      <c r="C102">
        <v>1</v>
      </c>
      <c r="D102">
        <v>74578</v>
      </c>
    </row>
    <row r="103" spans="1:4">
      <c r="A103" s="11" t="s">
        <v>181</v>
      </c>
      <c r="B103">
        <v>2</v>
      </c>
      <c r="C103">
        <v>6</v>
      </c>
      <c r="D103">
        <v>447570</v>
      </c>
    </row>
    <row r="104" spans="1:4">
      <c r="A104" s="11" t="s">
        <v>131</v>
      </c>
      <c r="B104">
        <v>1</v>
      </c>
      <c r="C104">
        <v>2</v>
      </c>
      <c r="D104">
        <v>124680</v>
      </c>
    </row>
    <row r="105" spans="1:4">
      <c r="A105" s="11" t="s">
        <v>155</v>
      </c>
      <c r="B105">
        <v>1</v>
      </c>
      <c r="C105">
        <v>4</v>
      </c>
      <c r="D105">
        <v>352508</v>
      </c>
    </row>
    <row r="106" spans="1:4">
      <c r="A106" s="11" t="s">
        <v>152</v>
      </c>
      <c r="B106">
        <v>1</v>
      </c>
      <c r="C106">
        <v>1</v>
      </c>
      <c r="D106">
        <v>88946</v>
      </c>
    </row>
    <row r="107" spans="1:4">
      <c r="A107" s="11" t="s">
        <v>127</v>
      </c>
      <c r="B107">
        <v>1</v>
      </c>
      <c r="C107">
        <v>1</v>
      </c>
      <c r="D107">
        <v>96782</v>
      </c>
    </row>
    <row r="108" spans="1:4">
      <c r="A108" s="11" t="s">
        <v>68</v>
      </c>
      <c r="B108">
        <v>2</v>
      </c>
      <c r="C108">
        <v>3</v>
      </c>
      <c r="D108">
        <v>242253</v>
      </c>
    </row>
    <row r="109" spans="1:4">
      <c r="A109" s="11" t="s">
        <v>78</v>
      </c>
      <c r="B109">
        <v>1</v>
      </c>
      <c r="C109">
        <v>1</v>
      </c>
      <c r="D109">
        <v>88127</v>
      </c>
    </row>
    <row r="110" spans="1:4">
      <c r="A110" s="11" t="s">
        <v>126</v>
      </c>
      <c r="B110">
        <v>1</v>
      </c>
      <c r="C110">
        <v>2</v>
      </c>
      <c r="D110">
        <v>122070</v>
      </c>
    </row>
    <row r="111" spans="1:4">
      <c r="A111" s="11" t="s">
        <v>162</v>
      </c>
      <c r="B111">
        <v>1</v>
      </c>
      <c r="C111">
        <v>4</v>
      </c>
      <c r="D111">
        <v>205360</v>
      </c>
    </row>
    <row r="112" spans="1:4">
      <c r="A112" s="11" t="s">
        <v>133</v>
      </c>
      <c r="B112">
        <v>1</v>
      </c>
      <c r="C112">
        <v>1</v>
      </c>
      <c r="D112">
        <v>80499</v>
      </c>
    </row>
    <row r="113" spans="1:4">
      <c r="A113" s="11" t="s">
        <v>82</v>
      </c>
      <c r="B113">
        <v>2</v>
      </c>
      <c r="C113">
        <v>5</v>
      </c>
      <c r="D113">
        <v>479571</v>
      </c>
    </row>
    <row r="114" spans="1:4">
      <c r="A114" s="11" t="s">
        <v>171</v>
      </c>
      <c r="B114">
        <v>1</v>
      </c>
      <c r="C114">
        <v>1</v>
      </c>
      <c r="D114">
        <v>94247</v>
      </c>
    </row>
    <row r="115" spans="1:4">
      <c r="A115" s="11" t="s">
        <v>88</v>
      </c>
      <c r="B115">
        <v>3</v>
      </c>
      <c r="C115">
        <v>4</v>
      </c>
      <c r="D115">
        <v>328223</v>
      </c>
    </row>
    <row r="116" spans="1:4">
      <c r="A116" s="11" t="s">
        <v>187</v>
      </c>
      <c r="B116">
        <v>1</v>
      </c>
      <c r="C116">
        <v>3</v>
      </c>
      <c r="D116">
        <v>266838</v>
      </c>
    </row>
    <row r="117" spans="1:4">
      <c r="A117" s="8" t="s">
        <v>228</v>
      </c>
      <c r="B117">
        <v>26</v>
      </c>
      <c r="C117">
        <v>50</v>
      </c>
      <c r="D117">
        <v>3566410</v>
      </c>
    </row>
    <row r="118" spans="1:4">
      <c r="A118" s="11" t="s">
        <v>184</v>
      </c>
      <c r="B118">
        <v>1</v>
      </c>
      <c r="C118">
        <v>2</v>
      </c>
      <c r="D118">
        <v>189448</v>
      </c>
    </row>
    <row r="119" spans="1:4">
      <c r="A119" s="11" t="s">
        <v>174</v>
      </c>
      <c r="B119">
        <v>2</v>
      </c>
      <c r="C119">
        <v>7</v>
      </c>
      <c r="D119">
        <v>398160</v>
      </c>
    </row>
    <row r="120" spans="1:4">
      <c r="A120" s="11" t="s">
        <v>202</v>
      </c>
      <c r="B120">
        <v>1</v>
      </c>
      <c r="C120">
        <v>1</v>
      </c>
      <c r="D120">
        <v>62340</v>
      </c>
    </row>
    <row r="121" spans="1:4">
      <c r="A121" s="11" t="s">
        <v>132</v>
      </c>
      <c r="B121">
        <v>1</v>
      </c>
      <c r="C121">
        <v>3</v>
      </c>
      <c r="D121">
        <v>223734</v>
      </c>
    </row>
    <row r="122" spans="1:4">
      <c r="A122" s="11" t="s">
        <v>92</v>
      </c>
      <c r="B122">
        <v>1</v>
      </c>
      <c r="C122">
        <v>1</v>
      </c>
      <c r="D122">
        <v>63536</v>
      </c>
    </row>
    <row r="123" spans="1:4">
      <c r="A123" s="11" t="s">
        <v>144</v>
      </c>
      <c r="B123">
        <v>1</v>
      </c>
      <c r="C123">
        <v>3</v>
      </c>
      <c r="D123">
        <v>154020</v>
      </c>
    </row>
    <row r="124" spans="1:4">
      <c r="A124" s="11" t="s">
        <v>148</v>
      </c>
      <c r="B124">
        <v>1</v>
      </c>
      <c r="C124">
        <v>1</v>
      </c>
      <c r="D124">
        <v>80751</v>
      </c>
    </row>
    <row r="125" spans="1:4">
      <c r="A125" s="11" t="s">
        <v>63</v>
      </c>
      <c r="B125">
        <v>2</v>
      </c>
      <c r="C125">
        <v>3</v>
      </c>
      <c r="D125">
        <v>193932</v>
      </c>
    </row>
    <row r="126" spans="1:4">
      <c r="A126" s="11" t="s">
        <v>91</v>
      </c>
      <c r="B126">
        <v>1</v>
      </c>
      <c r="C126">
        <v>4</v>
      </c>
      <c r="D126">
        <v>345896</v>
      </c>
    </row>
    <row r="127" spans="1:4">
      <c r="A127" s="11" t="s">
        <v>154</v>
      </c>
      <c r="B127">
        <v>1</v>
      </c>
      <c r="C127">
        <v>1</v>
      </c>
      <c r="D127">
        <v>58708</v>
      </c>
    </row>
    <row r="128" spans="1:4">
      <c r="A128" s="11" t="s">
        <v>173</v>
      </c>
      <c r="B128">
        <v>1</v>
      </c>
      <c r="C128">
        <v>2</v>
      </c>
      <c r="D128">
        <v>128028</v>
      </c>
    </row>
    <row r="129" spans="1:4">
      <c r="A129" s="11" t="s">
        <v>93</v>
      </c>
      <c r="B129">
        <v>2</v>
      </c>
      <c r="C129">
        <v>4</v>
      </c>
      <c r="D129">
        <v>272793</v>
      </c>
    </row>
    <row r="130" spans="1:4">
      <c r="A130" s="11" t="s">
        <v>193</v>
      </c>
      <c r="B130">
        <v>1</v>
      </c>
      <c r="C130">
        <v>1</v>
      </c>
      <c r="D130">
        <v>85731</v>
      </c>
    </row>
    <row r="131" spans="1:4">
      <c r="A131" s="11" t="s">
        <v>189</v>
      </c>
      <c r="B131">
        <v>1</v>
      </c>
      <c r="C131">
        <v>1</v>
      </c>
      <c r="D131">
        <v>88127</v>
      </c>
    </row>
    <row r="132" spans="1:4">
      <c r="A132" s="11" t="s">
        <v>83</v>
      </c>
      <c r="B132">
        <v>2</v>
      </c>
      <c r="C132">
        <v>3</v>
      </c>
      <c r="D132">
        <v>291425</v>
      </c>
    </row>
    <row r="133" spans="1:4">
      <c r="A133" s="11" t="s">
        <v>87</v>
      </c>
      <c r="B133">
        <v>1</v>
      </c>
      <c r="C133">
        <v>3</v>
      </c>
      <c r="D133">
        <v>187020</v>
      </c>
    </row>
    <row r="134" spans="1:4">
      <c r="A134" s="11" t="s">
        <v>109</v>
      </c>
      <c r="B134">
        <v>1</v>
      </c>
      <c r="C134">
        <v>1</v>
      </c>
      <c r="D134">
        <v>85731</v>
      </c>
    </row>
    <row r="135" spans="1:4">
      <c r="A135" s="11" t="s">
        <v>165</v>
      </c>
      <c r="B135">
        <v>1</v>
      </c>
      <c r="C135">
        <v>1</v>
      </c>
      <c r="D135">
        <v>52504</v>
      </c>
    </row>
    <row r="136" spans="1:4">
      <c r="A136" s="11" t="s">
        <v>121</v>
      </c>
      <c r="B136">
        <v>1</v>
      </c>
      <c r="C136">
        <v>3</v>
      </c>
      <c r="D136">
        <v>266838</v>
      </c>
    </row>
    <row r="137" spans="1:4">
      <c r="A137" s="11" t="s">
        <v>179</v>
      </c>
      <c r="B137">
        <v>1</v>
      </c>
      <c r="C137">
        <v>1</v>
      </c>
      <c r="D137">
        <v>71296</v>
      </c>
    </row>
    <row r="138" spans="1:4">
      <c r="A138" s="11" t="s">
        <v>142</v>
      </c>
      <c r="B138">
        <v>1</v>
      </c>
      <c r="C138">
        <v>1</v>
      </c>
      <c r="D138">
        <v>52504</v>
      </c>
    </row>
    <row r="139" spans="1:4">
      <c r="A139" s="11" t="s">
        <v>129</v>
      </c>
      <c r="B139">
        <v>1</v>
      </c>
      <c r="C139">
        <v>3</v>
      </c>
      <c r="D139">
        <v>213888</v>
      </c>
    </row>
    <row r="140" spans="1:4">
      <c r="A140" s="7" t="s">
        <v>240</v>
      </c>
      <c r="B140">
        <v>8</v>
      </c>
      <c r="C140">
        <v>17</v>
      </c>
      <c r="D140">
        <v>1270975</v>
      </c>
    </row>
    <row r="141" spans="1:4">
      <c r="A141" s="8" t="s">
        <v>241</v>
      </c>
      <c r="B141">
        <v>7</v>
      </c>
      <c r="C141">
        <v>16</v>
      </c>
      <c r="D141">
        <v>1185134</v>
      </c>
    </row>
    <row r="142" spans="1:4">
      <c r="A142" s="11" t="s">
        <v>104</v>
      </c>
      <c r="B142">
        <v>2</v>
      </c>
      <c r="C142">
        <v>2</v>
      </c>
      <c r="D142">
        <v>185131</v>
      </c>
    </row>
    <row r="143" spans="1:4">
      <c r="A143" s="11" t="s">
        <v>66</v>
      </c>
      <c r="B143">
        <v>2</v>
      </c>
      <c r="C143">
        <v>6</v>
      </c>
      <c r="D143">
        <v>515872</v>
      </c>
    </row>
    <row r="144" spans="1:4">
      <c r="A144" s="11" t="s">
        <v>86</v>
      </c>
      <c r="B144">
        <v>2</v>
      </c>
      <c r="C144">
        <v>4</v>
      </c>
      <c r="D144">
        <v>234771</v>
      </c>
    </row>
    <row r="145" spans="1:4">
      <c r="A145" s="11" t="s">
        <v>163</v>
      </c>
      <c r="B145">
        <v>1</v>
      </c>
      <c r="C145">
        <v>4</v>
      </c>
      <c r="D145">
        <v>249360</v>
      </c>
    </row>
    <row r="146" spans="1:4">
      <c r="A146" s="8" t="s">
        <v>660</v>
      </c>
      <c r="B146">
        <v>1</v>
      </c>
      <c r="C146">
        <v>1</v>
      </c>
      <c r="D146">
        <v>85841</v>
      </c>
    </row>
    <row r="147" spans="1:4">
      <c r="A147" s="11" t="s">
        <v>196</v>
      </c>
      <c r="B147">
        <v>1</v>
      </c>
      <c r="C147">
        <v>1</v>
      </c>
      <c r="D147">
        <v>85841</v>
      </c>
    </row>
    <row r="148" spans="1:4">
      <c r="A148" s="7" t="s">
        <v>323</v>
      </c>
      <c r="B148">
        <v>6</v>
      </c>
      <c r="C148">
        <v>18</v>
      </c>
      <c r="D148">
        <v>1233422</v>
      </c>
    </row>
    <row r="149" spans="1:4">
      <c r="A149" s="8" t="s">
        <v>324</v>
      </c>
      <c r="B149">
        <v>3</v>
      </c>
      <c r="C149">
        <v>11</v>
      </c>
      <c r="D149">
        <v>656680</v>
      </c>
    </row>
    <row r="150" spans="1:4">
      <c r="A150" s="11" t="s">
        <v>151</v>
      </c>
      <c r="B150">
        <v>1</v>
      </c>
      <c r="C150">
        <v>3</v>
      </c>
      <c r="D150">
        <v>190608</v>
      </c>
    </row>
    <row r="151" spans="1:4">
      <c r="A151" s="11" t="s">
        <v>89</v>
      </c>
      <c r="B151">
        <v>2</v>
      </c>
      <c r="C151">
        <v>8</v>
      </c>
      <c r="D151">
        <v>466072</v>
      </c>
    </row>
    <row r="152" spans="1:4">
      <c r="A152" s="8" t="s">
        <v>420</v>
      </c>
      <c r="B152">
        <v>3</v>
      </c>
      <c r="C152">
        <v>7</v>
      </c>
      <c r="D152">
        <v>576742</v>
      </c>
    </row>
    <row r="153" spans="1:4">
      <c r="A153" s="11" t="s">
        <v>118</v>
      </c>
      <c r="B153">
        <v>2</v>
      </c>
      <c r="C153">
        <v>6</v>
      </c>
      <c r="D153">
        <v>524238</v>
      </c>
    </row>
    <row r="154" spans="1:4">
      <c r="A154" s="11" t="s">
        <v>159</v>
      </c>
      <c r="B154">
        <v>1</v>
      </c>
      <c r="C154">
        <v>1</v>
      </c>
      <c r="D154">
        <v>52504</v>
      </c>
    </row>
    <row r="155" spans="1:4">
      <c r="A155" s="7" t="s">
        <v>232</v>
      </c>
      <c r="B155">
        <v>6</v>
      </c>
      <c r="C155">
        <v>15</v>
      </c>
      <c r="D155">
        <v>1245321</v>
      </c>
    </row>
    <row r="156" spans="1:4">
      <c r="A156" s="8" t="s">
        <v>4</v>
      </c>
      <c r="B156">
        <v>3</v>
      </c>
      <c r="C156">
        <v>7</v>
      </c>
      <c r="D156">
        <v>593734</v>
      </c>
    </row>
    <row r="157" spans="1:4">
      <c r="A157" s="11" t="s">
        <v>11</v>
      </c>
      <c r="B157">
        <v>3</v>
      </c>
      <c r="C157">
        <v>7</v>
      </c>
      <c r="D157">
        <v>593734</v>
      </c>
    </row>
    <row r="158" spans="1:4">
      <c r="A158" s="8" t="s">
        <v>7</v>
      </c>
      <c r="B158">
        <v>1</v>
      </c>
      <c r="C158">
        <v>1</v>
      </c>
      <c r="D158">
        <v>63536</v>
      </c>
    </row>
    <row r="159" spans="1:4">
      <c r="A159" s="11" t="s">
        <v>2</v>
      </c>
      <c r="B159">
        <v>1</v>
      </c>
      <c r="C159">
        <v>1</v>
      </c>
      <c r="D159">
        <v>63536</v>
      </c>
    </row>
    <row r="160" spans="1:4">
      <c r="A160" s="8" t="s">
        <v>13</v>
      </c>
      <c r="B160">
        <v>2</v>
      </c>
      <c r="C160">
        <v>7</v>
      </c>
      <c r="D160">
        <v>588051</v>
      </c>
    </row>
    <row r="161" spans="1:4">
      <c r="A161" s="11" t="s">
        <v>5</v>
      </c>
      <c r="B161">
        <v>2</v>
      </c>
      <c r="C161">
        <v>7</v>
      </c>
      <c r="D161">
        <v>588051</v>
      </c>
    </row>
    <row r="162" spans="1:4">
      <c r="A162" s="7" t="s">
        <v>357</v>
      </c>
      <c r="B162">
        <v>8</v>
      </c>
      <c r="C162">
        <v>15</v>
      </c>
      <c r="D162">
        <v>1199228</v>
      </c>
    </row>
    <row r="163" spans="1:4">
      <c r="A163" s="8" t="s">
        <v>510</v>
      </c>
      <c r="B163">
        <v>3</v>
      </c>
      <c r="C163">
        <v>5</v>
      </c>
      <c r="D163">
        <v>364247</v>
      </c>
    </row>
    <row r="164" spans="1:4">
      <c r="A164" s="11" t="s">
        <v>161</v>
      </c>
      <c r="B164">
        <v>2</v>
      </c>
      <c r="C164">
        <v>2</v>
      </c>
      <c r="D164">
        <v>172205</v>
      </c>
    </row>
    <row r="165" spans="1:4">
      <c r="A165" s="11" t="s">
        <v>147</v>
      </c>
      <c r="B165">
        <v>1</v>
      </c>
      <c r="C165">
        <v>3</v>
      </c>
      <c r="D165">
        <v>192042</v>
      </c>
    </row>
    <row r="166" spans="1:4">
      <c r="A166" s="8" t="s">
        <v>358</v>
      </c>
      <c r="B166">
        <v>3</v>
      </c>
      <c r="C166">
        <v>8</v>
      </c>
      <c r="D166">
        <v>729973</v>
      </c>
    </row>
    <row r="167" spans="1:4">
      <c r="A167" s="11" t="s">
        <v>99</v>
      </c>
      <c r="B167">
        <v>3</v>
      </c>
      <c r="C167">
        <v>8</v>
      </c>
      <c r="D167">
        <v>729973</v>
      </c>
    </row>
    <row r="168" spans="1:4">
      <c r="A168" s="8" t="s">
        <v>605</v>
      </c>
      <c r="B168">
        <v>2</v>
      </c>
      <c r="C168">
        <v>2</v>
      </c>
      <c r="D168">
        <v>105008</v>
      </c>
    </row>
    <row r="169" spans="1:4">
      <c r="A169" s="11" t="s">
        <v>178</v>
      </c>
      <c r="B169">
        <v>1</v>
      </c>
      <c r="C169">
        <v>1</v>
      </c>
      <c r="D169">
        <v>52504</v>
      </c>
    </row>
    <row r="170" spans="1:4">
      <c r="A170" s="11" t="s">
        <v>192</v>
      </c>
      <c r="B170">
        <v>1</v>
      </c>
      <c r="C170">
        <v>1</v>
      </c>
      <c r="D170">
        <v>52504</v>
      </c>
    </row>
    <row r="171" spans="1:4">
      <c r="A171" s="7" t="s">
        <v>281</v>
      </c>
      <c r="B171">
        <v>5</v>
      </c>
      <c r="C171">
        <v>14</v>
      </c>
      <c r="D171">
        <v>1084514</v>
      </c>
    </row>
    <row r="172" spans="1:4">
      <c r="A172" s="8" t="s">
        <v>442</v>
      </c>
      <c r="B172">
        <v>3</v>
      </c>
      <c r="C172">
        <v>9</v>
      </c>
      <c r="D172">
        <v>675036</v>
      </c>
    </row>
    <row r="173" spans="1:4">
      <c r="A173" s="11" t="s">
        <v>125</v>
      </c>
      <c r="B173">
        <v>3</v>
      </c>
      <c r="C173">
        <v>9</v>
      </c>
      <c r="D173">
        <v>675036</v>
      </c>
    </row>
    <row r="174" spans="1:4">
      <c r="A174" s="8" t="s">
        <v>397</v>
      </c>
      <c r="B174">
        <v>1</v>
      </c>
      <c r="C174">
        <v>1</v>
      </c>
      <c r="D174">
        <v>86474</v>
      </c>
    </row>
    <row r="175" spans="1:4">
      <c r="A175" s="11" t="s">
        <v>111</v>
      </c>
      <c r="B175">
        <v>1</v>
      </c>
      <c r="C175">
        <v>1</v>
      </c>
      <c r="D175">
        <v>86474</v>
      </c>
    </row>
    <row r="176" spans="1:4">
      <c r="A176" s="8" t="s">
        <v>282</v>
      </c>
      <c r="B176">
        <v>1</v>
      </c>
      <c r="C176">
        <v>4</v>
      </c>
      <c r="D176">
        <v>323004</v>
      </c>
    </row>
    <row r="177" spans="1:4">
      <c r="A177" s="11" t="s">
        <v>77</v>
      </c>
      <c r="B177">
        <v>1</v>
      </c>
      <c r="C177">
        <v>4</v>
      </c>
      <c r="D177">
        <v>323004</v>
      </c>
    </row>
    <row r="178" spans="1:4">
      <c r="A178" s="7" t="s">
        <v>16</v>
      </c>
      <c r="B178">
        <v>187</v>
      </c>
      <c r="C178">
        <v>405</v>
      </c>
      <c r="D178">
        <v>31047609</v>
      </c>
    </row>
  </sheetData>
  <sortState xmlns:xlrd2="http://schemas.microsoft.com/office/spreadsheetml/2017/richdata2" ref="A3:D178">
    <sortCondition ref="A4" customList="H,K,Sze,Cs,P,Szo,V"/>
  </sortState>
  <conditionalFormatting pivot="1" sqref="D6 D5 D7 D8:D9">
    <cfRule type="dataBar" priority="2">
      <dataBar>
        <cfvo type="min"/>
        <cfvo type="max"/>
        <color rgb="FFFF555A"/>
      </dataBar>
      <extLst>
        <ext xmlns:x14="http://schemas.microsoft.com/office/spreadsheetml/2009/9/main" uri="{B025F937-C7B1-47D3-B67F-A62EFF666E3E}">
          <x14:id>{D6902E3C-8664-48EB-BE4C-6F648D093481}</x14:id>
        </ext>
      </extLst>
    </cfRule>
  </conditionalFormatting>
  <conditionalFormatting pivot="1" sqref="D6 D5 D7 D8:D9 D11 D12:D13 D14 D15 D16 D17:D18 D20 D21:D35 D36 D37:D58 D59 D60:D74 D75 D76:D91 D92 D93:D116 D117 D118:D139 D140 D141 D142:D145 D146 D147 D149 D150:D151 D152 D153:D154 D156 D157 D158 D159 D160 D161 D163 D164:D165 D166 D167 D168 D169:D170 D172 D173 D174 D175 D176 D177">
    <cfRule type="dataBar" priority="1">
      <dataBar>
        <cfvo type="min"/>
        <cfvo type="max"/>
        <color rgb="FFFF555A"/>
      </dataBar>
      <extLst>
        <ext xmlns:x14="http://schemas.microsoft.com/office/spreadsheetml/2009/9/main" uri="{B025F937-C7B1-47D3-B67F-A62EFF666E3E}">
          <x14:id>{9F8D17BF-D1C4-4960-8BB2-71B5225E5251}</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6902E3C-8664-48EB-BE4C-6F648D093481}">
            <x14:dataBar minLength="0" maxLength="100" border="1" negativeBarBorderColorSameAsPositive="0">
              <x14:cfvo type="autoMin"/>
              <x14:cfvo type="autoMax"/>
              <x14:borderColor rgb="FFFF555A"/>
              <x14:negativeFillColor rgb="FFFF0000"/>
              <x14:negativeBorderColor rgb="FFFF0000"/>
              <x14:axisColor rgb="FF000000"/>
            </x14:dataBar>
          </x14:cfRule>
          <xm:sqref>D6 D5 D7 D8:D9</xm:sqref>
        </x14:conditionalFormatting>
        <x14:conditionalFormatting xmlns:xm="http://schemas.microsoft.com/office/excel/2006/main" pivot="1">
          <x14:cfRule type="dataBar" id="{9F8D17BF-D1C4-4960-8BB2-71B5225E5251}">
            <x14:dataBar minLength="0" maxLength="100" border="1" negativeBarBorderColorSameAsPositive="0">
              <x14:cfvo type="autoMin"/>
              <x14:cfvo type="autoMax"/>
              <x14:borderColor rgb="FFFF555A"/>
              <x14:negativeFillColor rgb="FFFF0000"/>
              <x14:negativeBorderColor rgb="FFFF0000"/>
              <x14:axisColor rgb="FF000000"/>
            </x14:dataBar>
          </x14:cfRule>
          <xm:sqref>D6 D5 D7 D8:D9 D11 D12:D13 D14 D15 D16 D17:D18 D20 D21:D35 D36 D37:D58 D59 D60:D74 D75 D76:D91 D92 D93:D116 D117 D118:D139 D140 D141 D142:D145 D146 D147 D149 D150:D151 D152 D153:D154 D156 D157 D158 D159 D160 D161 D163 D164:D165 D166 D167 D168 D169:D170 D172 D173 D174 D175 D176 D177</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6C99F-F031-41D3-91F4-8239B38033E5}">
  <dimension ref="A1"/>
  <sheetViews>
    <sheetView showGridLines="0" zoomScale="85" zoomScaleNormal="85" workbookViewId="0">
      <selection activeCell="X30" sqref="X30"/>
    </sheetView>
  </sheetViews>
  <sheetFormatPr defaultRowHeight="14.4"/>
  <cols>
    <col min="1" max="1" width="21.109375" bestFit="1" customWidth="1"/>
    <col min="2" max="2" width="14.33203125" bestFit="1" customWidth="1"/>
    <col min="3" max="3" width="16.6640625" bestFit="1" customWidth="1"/>
    <col min="4" max="4" width="13.66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 Forrás</vt:lpstr>
      <vt:lpstr>Rendelések</vt:lpstr>
      <vt:lpstr>Rendelések Pivot</vt:lpstr>
      <vt:lpstr>Rendelések Dashboard</vt:lpstr>
      <vt:lpstr>Ügyfelek</vt:lpstr>
      <vt:lpstr>Ügyfelek Pivot</vt:lpstr>
      <vt:lpstr>Ügyfelek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Vajk Veszely (egressy-bp.edu.hu)</cp:lastModifiedBy>
  <cp:revision/>
  <dcterms:created xsi:type="dcterms:W3CDTF">2026-04-15T14:55:30Z</dcterms:created>
  <dcterms:modified xsi:type="dcterms:W3CDTF">2026-04-27T18:07:27Z</dcterms:modified>
  <cp:category/>
  <cp:contentStatus/>
</cp:coreProperties>
</file>